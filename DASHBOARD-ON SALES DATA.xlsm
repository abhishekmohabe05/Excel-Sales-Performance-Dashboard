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acer\Downloads\"/>
    </mc:Choice>
  </mc:AlternateContent>
  <xr:revisionPtr revIDLastSave="0" documentId="13_ncr:1_{5E168985-E802-4C53-B259-A7A0EC78A2CE}" xr6:coauthVersionLast="47" xr6:coauthVersionMax="47" xr10:uidLastSave="{00000000-0000-0000-0000-000000000000}"/>
  <bookViews>
    <workbookView xWindow="-108" yWindow="-108" windowWidth="23256" windowHeight="12456" xr2:uid="{00000000-000D-0000-FFFF-FFFF00000000}"/>
  </bookViews>
  <sheets>
    <sheet name="DASHBORD" sheetId="2" r:id="rId1"/>
    <sheet name="Sheet1" sheetId="1" r:id="rId2"/>
  </sheets>
  <definedNames>
    <definedName name="_xlnm._FilterDatabase" localSheetId="1" hidden="1">Sheet1!$A$1:$L$101</definedName>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1" i="1" l="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K60" i="1"/>
  <c r="L60" i="1" s="1"/>
  <c r="I60" i="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K10" i="1"/>
  <c r="L10" i="1" s="1"/>
  <c r="I10" i="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<sst xmlns="http://schemas.openxmlformats.org/spreadsheetml/2006/main" count="340" uniqueCount="174">
  <si>
    <t>Emp Code</t>
  </si>
  <si>
    <t>Sales Executive</t>
  </si>
  <si>
    <t>Region</t>
  </si>
  <si>
    <t>Day1</t>
  </si>
  <si>
    <t>Day2</t>
  </si>
  <si>
    <t>Day3</t>
  </si>
  <si>
    <t>Day4</t>
  </si>
  <si>
    <t>Day5</t>
  </si>
  <si>
    <t>Total Sales</t>
  </si>
  <si>
    <t>Target</t>
  </si>
  <si>
    <t>Target Hit %</t>
  </si>
  <si>
    <t>Away From Target %</t>
  </si>
  <si>
    <t>Mum-TCL001</t>
  </si>
  <si>
    <t>Raj Verma</t>
  </si>
  <si>
    <t>Chennai</t>
  </si>
  <si>
    <t>Mum-TCL002</t>
  </si>
  <si>
    <t>Tanuja Kale</t>
  </si>
  <si>
    <t>Ranchi</t>
  </si>
  <si>
    <t>Mum-TCL003</t>
  </si>
  <si>
    <t>Arvind Sharma</t>
  </si>
  <si>
    <t>Delhi</t>
  </si>
  <si>
    <t>Mum-TCL004</t>
  </si>
  <si>
    <t>Tahira Qureshi</t>
  </si>
  <si>
    <t>Pune</t>
  </si>
  <si>
    <t>Mum-TCL005</t>
  </si>
  <si>
    <t>Anuj Sharma</t>
  </si>
  <si>
    <t>Surat</t>
  </si>
  <si>
    <t>Mum-TCL006</t>
  </si>
  <si>
    <t>Syed Sohail</t>
  </si>
  <si>
    <t>Nagpur</t>
  </si>
  <si>
    <t>Mum-TCL007</t>
  </si>
  <si>
    <t>Syed Saqib</t>
  </si>
  <si>
    <t>Patna</t>
  </si>
  <si>
    <t>Mum-TCL008</t>
  </si>
  <si>
    <t>Syed Nawed</t>
  </si>
  <si>
    <t>Mumbai</t>
  </si>
  <si>
    <t>Mum-TCL009</t>
  </si>
  <si>
    <t>Swarnalata Borse</t>
  </si>
  <si>
    <t>Mum-TCL010</t>
  </si>
  <si>
    <t>Sushma Khandelwal</t>
  </si>
  <si>
    <t>Mum-TCL011</t>
  </si>
  <si>
    <t>Surendranath Dube</t>
  </si>
  <si>
    <t>Mum-TCL012</t>
  </si>
  <si>
    <t>Surendra Kumar</t>
  </si>
  <si>
    <t>Mum-TCL013</t>
  </si>
  <si>
    <t>Sunita Madnani</t>
  </si>
  <si>
    <t>Mum-TCL014</t>
  </si>
  <si>
    <t>Sunita Chawla</t>
  </si>
  <si>
    <t>Mum-TCL015</t>
  </si>
  <si>
    <t>Sunil Kumar</t>
  </si>
  <si>
    <t>Mum-TCL016</t>
  </si>
  <si>
    <t>Sudhir Kumar</t>
  </si>
  <si>
    <t>Mum-TCL017</t>
  </si>
  <si>
    <t>Sudipta Kumar</t>
  </si>
  <si>
    <t>Mum-TCL018</t>
  </si>
  <si>
    <t>Sonaram Munda</t>
  </si>
  <si>
    <t>Mum-TCL019</t>
  </si>
  <si>
    <t>Rohit Patil</t>
  </si>
  <si>
    <t>Mum-TCL020</t>
  </si>
  <si>
    <t>Priya Shah</t>
  </si>
  <si>
    <t>Mum-TCL021</t>
  </si>
  <si>
    <t>Neha Joshi</t>
  </si>
  <si>
    <t>Mum-TCL022</t>
  </si>
  <si>
    <t>Amit Yadav</t>
  </si>
  <si>
    <t>Mum-TCL023</t>
  </si>
  <si>
    <t>Vikas Singh</t>
  </si>
  <si>
    <t>Mum-TCL024</t>
  </si>
  <si>
    <t>Pooja Verma</t>
  </si>
  <si>
    <t>Mum-TCL025</t>
  </si>
  <si>
    <t>Karan Mehta</t>
  </si>
  <si>
    <t>Mum-TCL026</t>
  </si>
  <si>
    <t>Nisha Gupta</t>
  </si>
  <si>
    <t>Mum-TCL027</t>
  </si>
  <si>
    <t>Rahul Deshmukh</t>
  </si>
  <si>
    <t>Mum-TCL028</t>
  </si>
  <si>
    <t>Sneha Pawar</t>
  </si>
  <si>
    <t>Mum-TCL029</t>
  </si>
  <si>
    <t>Akash Jadhav</t>
  </si>
  <si>
    <t>Mum-TCL030</t>
  </si>
  <si>
    <t>Riya Kulkarni</t>
  </si>
  <si>
    <t>Mum-TCL031</t>
  </si>
  <si>
    <t>Manish Thakur</t>
  </si>
  <si>
    <t>Mum-TCL032</t>
  </si>
  <si>
    <t>Kavita More</t>
  </si>
  <si>
    <t>Mum-TCL033</t>
  </si>
  <si>
    <t>Deepak Sharma</t>
  </si>
  <si>
    <t>Mum-TCL034</t>
  </si>
  <si>
    <t>Anjali Rao</t>
  </si>
  <si>
    <t>Mum-TCL035</t>
  </si>
  <si>
    <t>Vivek Nair</t>
  </si>
  <si>
    <t>Mum-TCL036</t>
  </si>
  <si>
    <t>Meena Iyer</t>
  </si>
  <si>
    <t>Mum-TCL037</t>
  </si>
  <si>
    <t>Sanjay Gupta</t>
  </si>
  <si>
    <t>Mum-TCL038</t>
  </si>
  <si>
    <t>Asha Kumari</t>
  </si>
  <si>
    <t>Mum-TCL039</t>
  </si>
  <si>
    <t>Ramesh Pawar</t>
  </si>
  <si>
    <t>Mum-TCL040</t>
  </si>
  <si>
    <t>Komal Shinde</t>
  </si>
  <si>
    <t>Mum-TCL041</t>
  </si>
  <si>
    <t>Nitin Patil</t>
  </si>
  <si>
    <t>Mum-TCL042</t>
  </si>
  <si>
    <t>Shweta Joshi</t>
  </si>
  <si>
    <t>Mum-TCL043</t>
  </si>
  <si>
    <t>Rakesh Yadav</t>
  </si>
  <si>
    <t>Mum-TCL044</t>
  </si>
  <si>
    <t>Pallavi Singh</t>
  </si>
  <si>
    <t>Mum-TCL045</t>
  </si>
  <si>
    <t>Ganesh More</t>
  </si>
  <si>
    <t>Mum-TCL046</t>
  </si>
  <si>
    <t>Monika Shah</t>
  </si>
  <si>
    <t>Mum-TCL047</t>
  </si>
  <si>
    <t>Saurabh Jain</t>
  </si>
  <si>
    <t>Mum-TCL048</t>
  </si>
  <si>
    <t>Divya Kulkarni</t>
  </si>
  <si>
    <t>Mum-TCL049</t>
  </si>
  <si>
    <t>Prakash Rao</t>
  </si>
  <si>
    <t>Mum-TCL050</t>
  </si>
  <si>
    <t>Aarti Deshmukh</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</si>
  <si>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</si>
  <si>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</si>
  <si>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</si>
  <si>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</si>
  <si>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</si>
  <si>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</si>
  <si>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</si>
  <si>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</si>
  <si>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</si>
  <si>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</si>
  <si>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</si>
  <si>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</si>
  <si>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</si>
  <si>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</si>
  <si>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</si>
  <si>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</si>
  <si>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</si>
  <si>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</si>
  <si>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</si>
  <si>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</si>
  <si>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</si>
  <si>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</si>
  <si>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</si>
  <si>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</si>
  <si>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</si>
  <si>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</si>
  <si>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</si>
  <si>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</si>
  <si>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</si>
  <si>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</si>
  <si>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</si>
  <si>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</si>
  <si>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</si>
  <si>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</si>
  <si>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</si>
  <si>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</si>
  <si>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</si>
  <si>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</si>
  <si>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</si>
  <si>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</si>
  <si>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</si>
  <si>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</si>
  <si>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</si>
  <si>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</si>
  <si>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</si>
  <si>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</si>
  <si>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</si>
  <si>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</si>
  <si>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</si>
  <si>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</si>
  <si>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sales Executive</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</si>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</sst>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name val="Calibri"/>
    </font>
    <font>
      <sz val="8"/>
      <name val="Segoe UI"/>
      <family val="2"/>
    </font>
  </fonts>
  <fills count="5">
    <fill>
      <patternFill patternType="none"/>
    </fill>
    <fill>
      <patternFill patternType="gray125"/>
    </fill>
    <fill>
      <patternFill patternType="solid">
        <fgColor rgb="FFD9EAF7"/>
      </patternFill>
    </fill>
    <fill>
      <patternFill patternType="solid">
        <fgColor theme="0" tint="-4.9989318521683403E-2"/>
        <bgColor indexed="64"/>
      </patternFill>
    </fill>
    <fill>
      <patternFill patternType="solid">
        <fgColor theme="1" tint="0.49998474074526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8">
    <xf numFmtId="0" fontId="0" fillId="0" borderId="0" xfId="0"/>
    <xf numFmtId="0" fontId="1" fillId="2" borderId="1" xfId="0" applyFont="1" applyFill="1" applyBorder="1" applyAlignment="1">
      <alignment horizontal="center"/>
    </xf>
    <xf numFmtId="10"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3" borderId="0" xfId="0" applyFill="1"/>
    <xf numFmtId="0" fontId="0" fillId="4" borderId="0" xfId="0" applyFill="1"/>
  </cellXfs>
  <cellStyles count="1">
    <cellStyle name="Normal" xfId="0" builtinId="0"/>
  </cellStyles>
  <dxfs count="1">
    <dxf>
      <fill>
        <patternFill>
          <bgColor theme="1" tint="0.24994659260841701"/>
        </patternFill>
      </fill>
    </dxf>
  </dxfs>
  <tableStyles count="1" defaultTableStyle="TableStyleMedium9" defaultPivotStyle="PivotStyleLight16">
    <tableStyle name="Slicer Style 1" pivot="0" table="0" count="5" xr9:uid="{BC59D91A-9398-49B2-A3D7-ADF39BBF8F9A}">
      <tableStyleElement type="wholeTable" dxfId="0"/>
    </tableStyle>
  </tableStyles>
  <extLst>
    <ext xmlns:x14="http://schemas.microsoft.com/office/spreadsheetml/2009/9/main" uri="{46F421CA-312F-682f-3DD2-61675219B42D}">
      <x14:dxfs count="4">
        <dxf>
          <fill>
            <patternFill>
              <bgColor theme="9" tint="0.59996337778862885"/>
            </patternFill>
          </fill>
        </dxf>
        <dxf>
          <fill>
            <patternFill>
              <bgColor theme="6" tint="-0.499984740745262"/>
            </patternFill>
          </fill>
        </dxf>
        <dxf>
          <fill>
            <patternFill>
              <bgColor rgb="FFFFFF00"/>
            </patternFill>
          </fill>
        </dxf>
        <dxf>
          <fill>
            <patternFill>
              <bgColor theme="6"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[DASHBOARD-ON SALES DATA.xlsm]DASHBORD!PivotTable1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225044872718698"/>
          <c:y val="0.11623438880725358"/>
          <c:w val="0.57274011148262471"/>
          <c:h val="0.88376561119274644"/>
        </c:manualLayout>
      </c:layout>
      <c:barChart>
        <c:barDir val="bar"/>
        <c:grouping val="clustered"/>
        <c:varyColors val="0"/>
        <c:ser>
          <c:idx val="0"/>
          <c:order val="0"/>
          <c:tx>
            <c:strRef>
              <c:f>DASHBORD!$B$3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DASHBORD!$A$4:$A$8</c:f>
              <c:strCache>
                <c:ptCount val="5"/>
                <c:pt idx="0">
                  <c:v>Meena Iyer</c:v>
                </c:pt>
                <c:pt idx="1">
                  <c:v>Priya Shah</c:v>
                </c:pt>
                <c:pt idx="2">
                  <c:v>Sneha Pawar</c:v>
                </c:pt>
                <c:pt idx="3">
                  <c:v>Surendra Kumar</c:v>
                </c:pt>
                <c:pt idx="4">
                  <c:v>Syed Sohail</c:v>
                </c:pt>
              </c:strCache>
            </c:strRef>
          </c:cat>
          <c:val>
            <c:numRef>
              <c:f>DASHBORD!$B$4:$B$8</c:f>
              <c:numCache>
                <c:formatCode>General</c:formatCode>
                <c:ptCount val="5"/>
                <c:pt idx="0">
                  <c:v>391</c:v>
                </c:pt>
                <c:pt idx="1">
                  <c:v>399</c:v>
                </c:pt>
                <c:pt idx="2">
                  <c:v>317</c:v>
                </c:pt>
                <c:pt idx="3">
                  <c:v>384</c:v>
                </c:pt>
                <c:pt idx="4">
                  <c:v>332</c:v>
                </c:pt>
              </c:numCache>
            </c:numRef>
          </c:val>
          <c:extLst>
            <c:ext xmlns:c16="http://schemas.microsoft.com/office/drawing/2014/chart" uri="{C3380CC4-5D6E-409C-BE32-E72D297353CC}">
              <c16:uniqueId val="{00000000-435D-471A-B76C-DEC003649DF2}"/>
            </c:ext>
          </c:extLst>
        </c:ser>
        <c:dLbls>
          <c:showLegendKey val="0"/>
          <c:showVal val="0"/>
          <c:showCatName val="0"/>
          <c:showSerName val="0"/>
          <c:showPercent val="0"/>
          <c:showBubbleSize val="0"/>
        </c:dLbls>
        <c:gapWidth val="182"/>
        <c:axId val="789558879"/>
        <c:axId val="727091039"/>
      </c:barChart>
      <c:catAx>
        <c:axId val="789558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091039"/>
        <c:crosses val="autoZero"/>
        <c:auto val="1"/>
        <c:lblAlgn val="ctr"/>
        <c:lblOffset val="100"/>
        <c:noMultiLvlLbl val="0"/>
      </c:catAx>
      <c:valAx>
        <c:axId val="727091039"/>
        <c:scaling>
          <c:orientation val="minMax"/>
        </c:scaling>
        <c:delete val="1"/>
        <c:axPos val="b"/>
        <c:numFmt formatCode="General" sourceLinked="1"/>
        <c:majorTickMark val="none"/>
        <c:minorTickMark val="none"/>
        <c:tickLblPos val="nextTo"/>
        <c:crossAx val="78955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[DASHBOARD-ON SALES DATA.xlsm]DASHBORD!PivotTable3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DASHBORD!$G$4:$G$8</c:f>
              <c:strCache>
                <c:ptCount val="5"/>
                <c:pt idx="0">
                  <c:v>Amit Yadav</c:v>
                </c:pt>
                <c:pt idx="1">
                  <c:v>Asha Kumari</c:v>
                </c:pt>
                <c:pt idx="2">
                  <c:v>Monika Shah</c:v>
                </c:pt>
                <c:pt idx="3">
                  <c:v>Sunita Chawla</c:v>
                </c:pt>
                <c:pt idx="4">
                  <c:v>Tahira Qureshi</c:v>
                </c:pt>
              </c:strCache>
            </c:strRef>
          </c:cat>
          <c:val>
            <c:numRef>
              <c:f>DASHBORD!$H$4:$H$8</c:f>
              <c:numCache>
                <c:formatCode>0.00%</c:formatCode>
                <c:ptCount val="5"/>
                <c:pt idx="0">
                  <c:v>0.46200000000000002</c:v>
                </c:pt>
                <c:pt idx="1">
                  <c:v>0.40400000000000003</c:v>
                </c:pt>
                <c:pt idx="2">
                  <c:v>0.504</c:v>
                </c:pt>
                <c:pt idx="3">
                  <c:v>0.33400000000000002</c:v>
                </c:pt>
                <c:pt idx="4">
                  <c:v>0.49</c:v>
                </c:pt>
              </c:numCache>
            </c:numRef>
          </c:val>
          <c:extLst>
            <c:ext xmlns:c16="http://schemas.microsoft.com/office/drawing/2014/chart" uri="{C3380CC4-5D6E-409C-BE32-E72D297353CC}">
              <c16:uniqueId val="{00000000-4B65-4421-AEED-9B81D5D55B6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[DASHBOARD-ON SALES DATA.xlsm]DASHBORD!PivotTable4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034339457567807E-2"/>
          <c:y val="7.407407407407407E-2"/>
          <c:w val="0.93888888888888888"/>
          <c:h val="0.8416746864975212"/>
        </c:manualLayout>
      </c:layout>
      <c:lineChart>
        <c:grouping val="standard"/>
        <c:varyColors val="0"/>
        <c:ser>
          <c:idx val="0"/>
          <c:order val="0"/>
          <c:tx>
            <c:strRef>
              <c:f>DASHBORD!$K$3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DASHBORD!$J$4:$J$8</c:f>
              <c:strCache>
                <c:ptCount val="5"/>
                <c:pt idx="0">
                  <c:v>Amit Yadav</c:v>
                </c:pt>
                <c:pt idx="1">
                  <c:v>Asha Kumari</c:v>
                </c:pt>
                <c:pt idx="2">
                  <c:v>Monika Shah</c:v>
                </c:pt>
                <c:pt idx="3">
                  <c:v>Sunita Chawla</c:v>
                </c:pt>
                <c:pt idx="4">
                  <c:v>Tahira Qureshi</c:v>
                </c:pt>
              </c:strCache>
            </c:strRef>
          </c:cat>
          <c:val>
            <c:numRef>
              <c:f>DASHBORD!$K$4:$K$8</c:f>
              <c:numCache>
                <c:formatCode>0.00%</c:formatCode>
                <c:ptCount val="5"/>
                <c:pt idx="0">
                  <c:v>0.53800000000000003</c:v>
                </c:pt>
                <c:pt idx="1">
                  <c:v>0.59599999999999997</c:v>
                </c:pt>
                <c:pt idx="2">
                  <c:v>0.496</c:v>
                </c:pt>
                <c:pt idx="3">
                  <c:v>0.66599999999999993</c:v>
                </c:pt>
                <c:pt idx="4">
                  <c:v>0.51</c:v>
                </c:pt>
              </c:numCache>
            </c:numRef>
          </c:val>
          <c:smooth val="0"/>
          <c:extLst>
            <c:ext xmlns:c16="http://schemas.microsoft.com/office/drawing/2014/chart" uri="{C3380CC4-5D6E-409C-BE32-E72D297353CC}">
              <c16:uniqueId val="{00000000-CA5D-4F4F-AAA2-0DD0300549D5}"/>
            </c:ext>
          </c:extLst>
        </c:ser>
        <c:dLbls>
          <c:showLegendKey val="0"/>
          <c:showVal val="0"/>
          <c:showCatName val="0"/>
          <c:showSerName val="0"/>
          <c:showPercent val="0"/>
          <c:showBubbleSize val="0"/>
        </c:dLbls>
        <c:smooth val="0"/>
        <c:axId val="877634239"/>
        <c:axId val="888488063"/>
      </c:lineChart>
      <c:catAx>
        <c:axId val="877634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8488063"/>
        <c:crosses val="autoZero"/>
        <c:auto val="1"/>
        <c:lblAlgn val="ctr"/>
        <c:lblOffset val="100"/>
        <c:noMultiLvlLbl val="0"/>
      </c:catAx>
      <c:valAx>
        <c:axId val="888488063"/>
        <c:scaling>
          <c:orientation val="minMax"/>
        </c:scaling>
        <c:delete val="1"/>
        <c:axPos val="l"/>
        <c:numFmt formatCode="0.00%" sourceLinked="1"/>
        <c:majorTickMark val="none"/>
        <c:minorTickMark val="none"/>
        <c:tickLblPos val="nextTo"/>
        <c:crossAx val="877634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107950</xdr:rowOff>
    </xdr:from>
    <xdr:to>
      <xdr:col>4</xdr:col>
      <xdr:colOff>723900</xdr:colOff>
      <xdr:row>19</xdr:row>
      <xdr:rowOff>88899</xdr:rowOff>
    </xdr:to>
    <xdr:graphicFrame macro="">
      <xdr:nvGraphicFramePr>
        <xdr:cNvPr id="2" name="Chart 1">
          <a:extLst>
            <a:ext uri="{FF2B5EF4-FFF2-40B4-BE49-F238E27FC236}">
              <a16:creationId xmlns:a16="http://schemas.microsoft.com/office/drawing/2014/main" id="{98CA1698-5CE8-C665-B4E8-415899B726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120650</xdr:colOff>
      <xdr:row>8</xdr:row>
      <xdr:rowOff>101600</xdr:rowOff>
    </xdr:from>
    <xdr:to>
      <xdr:col>8</xdr:col>
      <xdr:colOff>12700</xdr:colOff>
      <xdr:row>19</xdr:row>
      <xdr:rowOff>101600</xdr:rowOff>
    </xdr:to>
    <xdr:graphicFrame macro="">
      <xdr:nvGraphicFramePr>
        <xdr:cNvPr id="5" name="Chart 4">
          <a:extLst>
            <a:ext uri="{FF2B5EF4-FFF2-40B4-BE49-F238E27FC236}">
              <a16:creationId xmlns:a16="http://schemas.microsoft.com/office/drawing/2014/main" id="{7F28B053-B62D-5439-B585-D6EA8BE6C6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82550</xdr:rowOff>
    </xdr:from>
    <xdr:to>
      <xdr:col>11</xdr:col>
      <xdr:colOff>25400</xdr:colOff>
      <xdr:row>19</xdr:row>
      <xdr:rowOff>107950</xdr:rowOff>
    </xdr:to>
    <xdr:graphicFrame macro="">
      <xdr:nvGraphicFramePr>
        <xdr:cNvPr id="6" name="Chart 5">
          <a:extLst>
            <a:ext uri="{FF2B5EF4-FFF2-40B4-BE49-F238E27FC236}">
              <a16:creationId xmlns:a16="http://schemas.microsoft.com/office/drawing/2014/main" id="{05F4D9B3-4E86-730A-9426-503299EDE0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6350</xdr:rowOff>
    </xdr:from>
    <xdr:to>
      <xdr:col>11</xdr:col>
      <xdr:colOff>0</xdr:colOff>
      <xdr:row>1</xdr:row>
      <xdr:rowOff>122950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95C086F1-3438-710C-A18E-02B8AD17646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6350"/>
              <a:ext cx="9429750"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127000</xdr:colOff>
      <xdr:row>1</xdr:row>
      <xdr:rowOff>228600</xdr:rowOff>
    </xdr:from>
    <xdr:to>
      <xdr:col>1</xdr:col>
      <xdr:colOff>336550</xdr:colOff>
      <xdr:row>1</xdr:row>
      <xdr:rowOff>552450</xdr:rowOff>
    </xdr:to>
    <xdr:sp macro="" textlink="">
      <xdr:nvSpPr>
        <xdr:cNvPr id="8" name="Speech Bubble: Rectangle with Corners Rounded 7">
          <a:extLst>
            <a:ext uri="{FF2B5EF4-FFF2-40B4-BE49-F238E27FC236}">
              <a16:creationId xmlns:a16="http://schemas.microsoft.com/office/drawing/2014/main" id="{C7D1C441-58C7-BF15-D479-A22673BE1A86}"/>
            </a:ext>
          </a:extLst>
        </xdr:cNvPr>
        <xdr:cNvSpPr/>
      </xdr:nvSpPr>
      <xdr:spPr>
        <a:xfrm>
          <a:off x="127000" y="412750"/>
          <a:ext cx="1289050" cy="323850"/>
        </a:xfrm>
        <a:prstGeom prst="wedgeRoundRectCallout">
          <a:avLst/>
        </a:prstGeom>
        <a:solidFill>
          <a:schemeClr val="accent6">
            <a:lumMod val="60000"/>
            <a:lumOff val="40000"/>
          </a:schemeClr>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220980</xdr:colOff>
          <xdr:row>1</xdr:row>
          <xdr:rowOff>266700</xdr:rowOff>
        </xdr:from>
        <xdr:to>
          <xdr:col>1</xdr:col>
          <xdr:colOff>182880</xdr:colOff>
          <xdr:row>1</xdr:row>
          <xdr:rowOff>487680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336550</xdr:colOff>
      <xdr:row>1</xdr:row>
      <xdr:rowOff>234950</xdr:rowOff>
    </xdr:from>
    <xdr:to>
      <xdr:col>4</xdr:col>
      <xdr:colOff>565150</xdr:colOff>
      <xdr:row>1</xdr:row>
      <xdr:rowOff>558800</xdr:rowOff>
    </xdr:to>
    <xdr:sp macro="" textlink="">
      <xdr:nvSpPr>
        <xdr:cNvPr id="9" name="Speech Bubble: Rectangle with Corners Rounded 8">
          <a:extLst>
            <a:ext uri="{FF2B5EF4-FFF2-40B4-BE49-F238E27FC236}">
              <a16:creationId xmlns:a16="http://schemas.microsoft.com/office/drawing/2014/main" id="{1908E1AE-4AB4-4BB6-8C91-1B29E8895903}"/>
            </a:ext>
          </a:extLst>
        </xdr:cNvPr>
        <xdr:cNvSpPr/>
      </xdr:nvSpPr>
      <xdr:spPr>
        <a:xfrm>
          <a:off x="2368550" y="419100"/>
          <a:ext cx="1289050" cy="323850"/>
        </a:xfrm>
        <a:prstGeom prst="wedgeRoundRectCallout">
          <a:avLst/>
        </a:prstGeom>
        <a:solidFill>
          <a:schemeClr val="accent6">
            <a:lumMod val="60000"/>
            <a:lumOff val="40000"/>
          </a:schemeClr>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539750</xdr:colOff>
          <xdr:row>1</xdr:row>
          <xdr:rowOff>304800</xdr:rowOff>
        </xdr:from>
        <xdr:to>
          <xdr:col>4</xdr:col>
          <xdr:colOff>643890</xdr:colOff>
          <xdr:row>1</xdr:row>
          <xdr:rowOff>495300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BEA6B018-7951-2344-B4B3-3BBC0A9076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482600</xdr:colOff>
      <xdr:row>1</xdr:row>
      <xdr:rowOff>234950</xdr:rowOff>
    </xdr:from>
    <xdr:to>
      <xdr:col>7</xdr:col>
      <xdr:colOff>755650</xdr:colOff>
      <xdr:row>1</xdr:row>
      <xdr:rowOff>558800</xdr:rowOff>
    </xdr:to>
    <xdr:sp macro="" textlink="">
      <xdr:nvSpPr>
        <xdr:cNvPr id="10" name="Speech Bubble: Rectangle with Corners Rounded 9">
          <a:extLst>
            <a:ext uri="{FF2B5EF4-FFF2-40B4-BE49-F238E27FC236}">
              <a16:creationId xmlns:a16="http://schemas.microsoft.com/office/drawing/2014/main" id="{7AF71CCE-1F06-42C8-8BC0-CADF8733BED0}"/>
            </a:ext>
          </a:extLst>
        </xdr:cNvPr>
        <xdr:cNvSpPr/>
      </xdr:nvSpPr>
      <xdr:spPr>
        <a:xfrm>
          <a:off x="4565650" y="419100"/>
          <a:ext cx="1289050" cy="323850"/>
        </a:xfrm>
        <a:prstGeom prst="wedgeRoundRectCallout">
          <a:avLst/>
        </a:prstGeom>
        <a:solidFill>
          <a:schemeClr val="accent6">
            <a:lumMod val="60000"/>
            <a:lumOff val="40000"/>
          </a:schemeClr>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819150</xdr:colOff>
      <xdr:row>1</xdr:row>
      <xdr:rowOff>209550</xdr:rowOff>
    </xdr:from>
    <xdr:to>
      <xdr:col>10</xdr:col>
      <xdr:colOff>958850</xdr:colOff>
      <xdr:row>1</xdr:row>
      <xdr:rowOff>552450</xdr:rowOff>
    </xdr:to>
    <xdr:sp macro="" textlink="">
      <xdr:nvSpPr>
        <xdr:cNvPr id="11" name="Speech Bubble: Rectangle with Corners Rounded 10">
          <a:extLst>
            <a:ext uri="{FF2B5EF4-FFF2-40B4-BE49-F238E27FC236}">
              <a16:creationId xmlns:a16="http://schemas.microsoft.com/office/drawing/2014/main" id="{530E3A76-F155-46F7-97C3-A0553285A559}"/>
            </a:ext>
          </a:extLst>
        </xdr:cNvPr>
        <xdr:cNvSpPr/>
      </xdr:nvSpPr>
      <xdr:spPr>
        <a:xfrm>
          <a:off x="7219950" y="393700"/>
          <a:ext cx="1289050" cy="342900"/>
        </a:xfrm>
        <a:prstGeom prst="wedgeRoundRectCallout">
          <a:avLst/>
        </a:prstGeom>
        <a:solidFill>
          <a:schemeClr val="accent6">
            <a:lumMod val="60000"/>
            <a:lumOff val="40000"/>
          </a:schemeClr>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1014730</xdr:colOff>
          <xdr:row>1</xdr:row>
          <xdr:rowOff>292100</xdr:rowOff>
        </xdr:from>
        <xdr:to>
          <xdr:col>10</xdr:col>
          <xdr:colOff>909320</xdr:colOff>
          <xdr:row>1</xdr:row>
          <xdr:rowOff>513080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4723575A-AC1C-977D-E835-AD5781518B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671830</xdr:colOff>
          <xdr:row>1</xdr:row>
          <xdr:rowOff>279400</xdr:rowOff>
        </xdr:from>
        <xdr:to>
          <xdr:col>7</xdr:col>
          <xdr:colOff>623570</xdr:colOff>
          <xdr:row>1</xdr:row>
          <xdr:rowOff>500380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B5C7334E-07D0-12A7-F7DF-A621A30C4D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6267.437712384257" createdVersion="8" refreshedVersion="8" minRefreshableVersion="3" recordCount="100" xr:uid="{2E2EEA22-B4AE-4557-BA78-016113E16C0E}">
  <cacheSource type="worksheet">
    <worksheetSource ref="A1:L101" sheet="Sheet1"/>
  </cacheSource>
  <cacheFields count="12">
    <cacheField name="Emp Code" numFmtId="0">
      <sharedItems/>
    </cacheField>
    <cacheField name="Sales Executive" numFmtId="0">
      <sharedItems count="50">
        <s v="Raj Verma"/>
        <s v="Tanuja Kale"/>
        <s v="Arvind Sharma"/>
        <s v="Tahira Qureshi"/>
        <s v="Anuj Sharma"/>
        <s v="Syed Sohail"/>
        <s v="Syed Saqib"/>
        <s v="Syed Nawed"/>
        <s v="Swarnalata Borse"/>
        <s v="Sushma Khandelwal"/>
        <s v="Surendranath Dube"/>
        <s v="Surendra Kumar"/>
        <s v="Sunita Madnani"/>
        <s v="Sunita Chawla"/>
        <s v="Sunil Kumar"/>
        <s v="Sudhir Kumar"/>
        <s v="Sudipta Kumar"/>
        <s v="Sonaram Munda"/>
        <s v="Rohit Patil"/>
        <s v="Priya Shah"/>
        <s v="Neha Joshi"/>
        <s v="Amit Yadav"/>
        <s v="Vikas Singh"/>
        <s v="Pooja Verma"/>
        <s v="Karan Mehta"/>
        <s v="Nisha Gupta"/>
        <s v="Rahul Deshmukh"/>
        <s v="Sneha Pawar"/>
        <s v="Akash Jadhav"/>
        <s v="Riya Kulkarni"/>
        <s v="Manish Thakur"/>
        <s v="Kavita More"/>
        <s v="Deepak Sharma"/>
        <s v="Anjali Rao"/>
        <s v="Vivek Nair"/>
        <s v="Meena Iyer"/>
        <s v="Sanjay Gupta"/>
        <s v="Asha Kumari"/>
        <s v="Ramesh Pawar"/>
        <s v="Komal Shinde"/>
        <s v="Nitin Patil"/>
        <s v="Shweta Joshi"/>
        <s v="Rakesh Yadav"/>
        <s v="Pallavi Singh"/>
        <s v="Ganesh More"/>
        <s v="Monika Shah"/>
        <s v="Saurabh Jain"/>
        <s v="Divya Kulkarni"/>
        <s v="Prakash Rao"/>
        <s v="Aarti Deshmukh"/>
      </sharedItems>
    </cacheField>
    <cacheField name="Region" numFmtId="0">
      <sharedItems count="8">
        <s v="Chennai"/>
        <s v="Ranchi"/>
        <s v="Delhi"/>
        <s v="Pune"/>
        <s v="Surat"/>
        <s v="Nagpur"/>
        <s v="Patna"/>
        <s v="Mumbai"/>
      </sharedItems>
    </cacheField>
    <cacheField name="Day1" numFmtId="0">
      <sharedItems containsSemiMixedTypes="0" containsString="0" containsNumber="1" containsInteger="1" minValue="11" maxValue="99"/>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2" maxValue="99"/>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67" maxValue="39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33400000000000002" maxValue="0.79800000000000004"/>
    </cacheField>
    <cacheField name="Away From Target %" numFmtId="10">
      <sharedItems containsSemiMixedTypes="0" containsString="0" containsNumber="1" minValue="0.20199999999999996" maxValue="0.66599999999999993"/>
    </cacheField>
  </cacheFields>
  <extLst>
    <ext xmlns:x14="http://schemas.microsoft.com/office/spreadsheetml/2009/9/main" uri="{725AE2AE-9491-48be-B2B4-4EB974FC3084}">
      <x14:pivotCacheDefinition pivotCacheId="10197254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Mum-TCL001"/>
    <x v="0"/>
    <x v="0"/>
    <n v="91"/>
    <n v="24"/>
    <n v="13"/>
    <n v="45"/>
    <n v="41"/>
    <n v="214"/>
    <n v="500"/>
    <n v="0.42799999999999999"/>
    <n v="0.57200000000000006"/>
  </r>
  <r>
    <s v="Mum-TCL002"/>
    <x v="1"/>
    <x v="1"/>
    <n v="38"/>
    <n v="27"/>
    <n v="23"/>
    <n v="96"/>
    <n v="79"/>
    <n v="263"/>
    <n v="500"/>
    <n v="0.52600000000000002"/>
    <n v="0.47399999999999998"/>
  </r>
  <r>
    <s v="Mum-TCL003"/>
    <x v="2"/>
    <x v="2"/>
    <n v="21"/>
    <n v="85"/>
    <n v="64"/>
    <n v="14"/>
    <n v="13"/>
    <n v="197"/>
    <n v="500"/>
    <n v="0.39400000000000002"/>
    <n v="0.60599999999999998"/>
  </r>
  <r>
    <s v="Mum-TCL004"/>
    <x v="3"/>
    <x v="3"/>
    <n v="21"/>
    <n v="37"/>
    <n v="39"/>
    <n v="74"/>
    <n v="87"/>
    <n v="258"/>
    <n v="500"/>
    <n v="0.51600000000000001"/>
    <n v="0.48399999999999999"/>
  </r>
  <r>
    <s v="Mum-TCL005"/>
    <x v="4"/>
    <x v="4"/>
    <n v="13"/>
    <n v="81"/>
    <n v="35"/>
    <n v="93"/>
    <n v="99"/>
    <n v="321"/>
    <n v="500"/>
    <n v="0.64200000000000002"/>
    <n v="0.35799999999999998"/>
  </r>
  <r>
    <s v="Mum-TCL006"/>
    <x v="5"/>
    <x v="5"/>
    <n v="79"/>
    <n v="63"/>
    <n v="38"/>
    <n v="67"/>
    <n v="85"/>
    <n v="332"/>
    <n v="500"/>
    <n v="0.66400000000000003"/>
    <n v="0.33599999999999997"/>
  </r>
  <r>
    <s v="Mum-TCL007"/>
    <x v="6"/>
    <x v="6"/>
    <n v="45"/>
    <n v="10"/>
    <n v="30"/>
    <n v="99"/>
    <n v="64"/>
    <n v="248"/>
    <n v="500"/>
    <n v="0.496"/>
    <n v="0.504"/>
  </r>
  <r>
    <s v="Mum-TCL008"/>
    <x v="7"/>
    <x v="7"/>
    <n v="53"/>
    <n v="45"/>
    <n v="29"/>
    <n v="37"/>
    <n v="53"/>
    <n v="217"/>
    <n v="500"/>
    <n v="0.434"/>
    <n v="0.56600000000000006"/>
  </r>
  <r>
    <s v="Mum-TCL009"/>
    <x v="8"/>
    <x v="0"/>
    <n v="23"/>
    <n v="21"/>
    <n v="58"/>
    <n v="22"/>
    <n v="55"/>
    <n v="179"/>
    <n v="500"/>
    <n v="0.35799999999999998"/>
    <n v="0.64200000000000002"/>
  </r>
  <r>
    <s v="Mum-TCL010"/>
    <x v="9"/>
    <x v="1"/>
    <n v="54"/>
    <n v="87"/>
    <n v="43"/>
    <n v="15"/>
    <n v="68"/>
    <n v="267"/>
    <n v="500"/>
    <n v="0.53400000000000003"/>
    <n v="0.46599999999999997"/>
  </r>
  <r>
    <s v="Mum-TCL011"/>
    <x v="10"/>
    <x v="2"/>
    <n v="78"/>
    <n v="25"/>
    <n v="58"/>
    <n v="20"/>
    <n v="80"/>
    <n v="261"/>
    <n v="500"/>
    <n v="0.52200000000000002"/>
    <n v="0.47799999999999998"/>
  </r>
  <r>
    <s v="Mum-TCL012"/>
    <x v="11"/>
    <x v="3"/>
    <n v="47"/>
    <n v="90"/>
    <n v="89"/>
    <n v="56"/>
    <n v="83"/>
    <n v="365"/>
    <n v="500"/>
    <n v="0.73"/>
    <n v="0.27"/>
  </r>
  <r>
    <s v="Mum-TCL013"/>
    <x v="12"/>
    <x v="4"/>
    <n v="34"/>
    <n v="100"/>
    <n v="18"/>
    <n v="15"/>
    <n v="94"/>
    <n v="261"/>
    <n v="500"/>
    <n v="0.52200000000000002"/>
    <n v="0.47799999999999998"/>
  </r>
  <r>
    <s v="Mum-TCL014"/>
    <x v="13"/>
    <x v="5"/>
    <n v="39"/>
    <n v="47"/>
    <n v="20"/>
    <n v="39"/>
    <n v="22"/>
    <n v="167"/>
    <n v="500"/>
    <n v="0.33400000000000002"/>
    <n v="0.66599999999999993"/>
  </r>
  <r>
    <s v="Mum-TCL015"/>
    <x v="14"/>
    <x v="6"/>
    <n v="58"/>
    <n v="45"/>
    <n v="68"/>
    <n v="91"/>
    <n v="56"/>
    <n v="318"/>
    <n v="500"/>
    <n v="0.63600000000000001"/>
    <n v="0.36399999999999999"/>
  </r>
  <r>
    <s v="Mum-TCL016"/>
    <x v="15"/>
    <x v="7"/>
    <n v="30"/>
    <n v="57"/>
    <n v="55"/>
    <n v="36"/>
    <n v="95"/>
    <n v="273"/>
    <n v="500"/>
    <n v="0.54600000000000004"/>
    <n v="0.45399999999999996"/>
  </r>
  <r>
    <s v="Mum-TCL017"/>
    <x v="16"/>
    <x v="0"/>
    <n v="44"/>
    <n v="99"/>
    <n v="97"/>
    <n v="92"/>
    <n v="19"/>
    <n v="351"/>
    <n v="500"/>
    <n v="0.70199999999999996"/>
    <n v="0.29800000000000004"/>
  </r>
  <r>
    <s v="Mum-TCL018"/>
    <x v="17"/>
    <x v="1"/>
    <n v="87"/>
    <n v="91"/>
    <n v="31"/>
    <n v="78"/>
    <n v="41"/>
    <n v="328"/>
    <n v="500"/>
    <n v="0.65600000000000003"/>
    <n v="0.34399999999999997"/>
  </r>
  <r>
    <s v="Mum-TCL019"/>
    <x v="18"/>
    <x v="2"/>
    <n v="30"/>
    <n v="69"/>
    <n v="58"/>
    <n v="44"/>
    <n v="91"/>
    <n v="292"/>
    <n v="500"/>
    <n v="0.58399999999999996"/>
    <n v="0.41600000000000004"/>
  </r>
  <r>
    <s v="Mum-TCL020"/>
    <x v="19"/>
    <x v="3"/>
    <n v="98"/>
    <n v="81"/>
    <n v="38"/>
    <n v="97"/>
    <n v="51"/>
    <n v="365"/>
    <n v="500"/>
    <n v="0.73"/>
    <n v="0.27"/>
  </r>
  <r>
    <s v="Mum-TCL021"/>
    <x v="20"/>
    <x v="4"/>
    <n v="17"/>
    <n v="39"/>
    <n v="14"/>
    <n v="50"/>
    <n v="61"/>
    <n v="181"/>
    <n v="500"/>
    <n v="0.36199999999999999"/>
    <n v="0.63800000000000001"/>
  </r>
  <r>
    <s v="Mum-TCL022"/>
    <x v="21"/>
    <x v="5"/>
    <n v="44"/>
    <n v="18"/>
    <n v="37"/>
    <n v="82"/>
    <n v="50"/>
    <n v="231"/>
    <n v="500"/>
    <n v="0.46200000000000002"/>
    <n v="0.53800000000000003"/>
  </r>
  <r>
    <s v="Mum-TCL023"/>
    <x v="22"/>
    <x v="6"/>
    <n v="37"/>
    <n v="93"/>
    <n v="73"/>
    <n v="60"/>
    <n v="92"/>
    <n v="355"/>
    <n v="500"/>
    <n v="0.71"/>
    <n v="0.29000000000000004"/>
  </r>
  <r>
    <s v="Mum-TCL024"/>
    <x v="23"/>
    <x v="7"/>
    <n v="68"/>
    <n v="28"/>
    <n v="43"/>
    <n v="27"/>
    <n v="41"/>
    <n v="207"/>
    <n v="500"/>
    <n v="0.41399999999999998"/>
    <n v="0.58600000000000008"/>
  </r>
  <r>
    <s v="Mum-TCL025"/>
    <x v="24"/>
    <x v="0"/>
    <n v="81"/>
    <n v="78"/>
    <n v="43"/>
    <n v="84"/>
    <n v="64"/>
    <n v="350"/>
    <n v="500"/>
    <n v="0.7"/>
    <n v="0.30000000000000004"/>
  </r>
  <r>
    <s v="Mum-TCL026"/>
    <x v="25"/>
    <x v="1"/>
    <n v="84"/>
    <n v="61"/>
    <n v="56"/>
    <n v="38"/>
    <n v="27"/>
    <n v="266"/>
    <n v="500"/>
    <n v="0.53200000000000003"/>
    <n v="0.46799999999999997"/>
  </r>
  <r>
    <s v="Mum-TCL027"/>
    <x v="26"/>
    <x v="2"/>
    <n v="75"/>
    <n v="73"/>
    <n v="21"/>
    <n v="16"/>
    <n v="24"/>
    <n v="209"/>
    <n v="500"/>
    <n v="0.41799999999999998"/>
    <n v="0.58200000000000007"/>
  </r>
  <r>
    <s v="Mum-TCL028"/>
    <x v="27"/>
    <x v="3"/>
    <n v="29"/>
    <n v="90"/>
    <n v="30"/>
    <n v="97"/>
    <n v="64"/>
    <n v="310"/>
    <n v="500"/>
    <n v="0.62"/>
    <n v="0.38"/>
  </r>
  <r>
    <s v="Mum-TCL029"/>
    <x v="28"/>
    <x v="4"/>
    <n v="86"/>
    <n v="18"/>
    <n v="59"/>
    <n v="58"/>
    <n v="86"/>
    <n v="307"/>
    <n v="500"/>
    <n v="0.61399999999999999"/>
    <n v="0.38600000000000001"/>
  </r>
  <r>
    <s v="Mum-TCL030"/>
    <x v="29"/>
    <x v="5"/>
    <n v="69"/>
    <n v="77"/>
    <n v="42"/>
    <n v="80"/>
    <n v="11"/>
    <n v="279"/>
    <n v="500"/>
    <n v="0.55800000000000005"/>
    <n v="0.44199999999999995"/>
  </r>
  <r>
    <s v="Mum-TCL031"/>
    <x v="30"/>
    <x v="6"/>
    <n v="97"/>
    <n v="24"/>
    <n v="97"/>
    <n v="78"/>
    <n v="44"/>
    <n v="340"/>
    <n v="500"/>
    <n v="0.68"/>
    <n v="0.31999999999999995"/>
  </r>
  <r>
    <s v="Mum-TCL032"/>
    <x v="31"/>
    <x v="7"/>
    <n v="92"/>
    <n v="53"/>
    <n v="24"/>
    <n v="47"/>
    <n v="65"/>
    <n v="281"/>
    <n v="500"/>
    <n v="0.56200000000000006"/>
    <n v="0.43799999999999994"/>
  </r>
  <r>
    <s v="Mum-TCL033"/>
    <x v="32"/>
    <x v="0"/>
    <n v="30"/>
    <n v="68"/>
    <n v="10"/>
    <n v="43"/>
    <n v="74"/>
    <n v="225"/>
    <n v="500"/>
    <n v="0.45"/>
    <n v="0.55000000000000004"/>
  </r>
  <r>
    <s v="Mum-TCL034"/>
    <x v="33"/>
    <x v="1"/>
    <n v="32"/>
    <n v="74"/>
    <n v="23"/>
    <n v="90"/>
    <n v="48"/>
    <n v="267"/>
    <n v="500"/>
    <n v="0.53400000000000003"/>
    <n v="0.46599999999999997"/>
  </r>
  <r>
    <s v="Mum-TCL035"/>
    <x v="34"/>
    <x v="2"/>
    <n v="91"/>
    <n v="74"/>
    <n v="87"/>
    <n v="35"/>
    <n v="29"/>
    <n v="316"/>
    <n v="500"/>
    <n v="0.63200000000000001"/>
    <n v="0.36799999999999999"/>
  </r>
  <r>
    <s v="Mum-TCL036"/>
    <x v="35"/>
    <x v="3"/>
    <n v="57"/>
    <n v="30"/>
    <n v="79"/>
    <n v="77"/>
    <n v="10"/>
    <n v="253"/>
    <n v="500"/>
    <n v="0.50600000000000001"/>
    <n v="0.49399999999999999"/>
  </r>
  <r>
    <s v="Mum-TCL037"/>
    <x v="36"/>
    <x v="4"/>
    <n v="86"/>
    <n v="51"/>
    <n v="72"/>
    <n v="12"/>
    <n v="24"/>
    <n v="245"/>
    <n v="500"/>
    <n v="0.49"/>
    <n v="0.51"/>
  </r>
  <r>
    <s v="Mum-TCL038"/>
    <x v="37"/>
    <x v="5"/>
    <n v="56"/>
    <n v="49"/>
    <n v="40"/>
    <n v="17"/>
    <n v="40"/>
    <n v="202"/>
    <n v="500"/>
    <n v="0.40400000000000003"/>
    <n v="0.59599999999999997"/>
  </r>
  <r>
    <s v="Mum-TCL039"/>
    <x v="38"/>
    <x v="6"/>
    <n v="82"/>
    <n v="20"/>
    <n v="20"/>
    <n v="72"/>
    <n v="18"/>
    <n v="212"/>
    <n v="500"/>
    <n v="0.42399999999999999"/>
    <n v="0.57600000000000007"/>
  </r>
  <r>
    <s v="Mum-TCL040"/>
    <x v="39"/>
    <x v="7"/>
    <n v="78"/>
    <n v="26"/>
    <n v="26"/>
    <n v="94"/>
    <n v="70"/>
    <n v="294"/>
    <n v="500"/>
    <n v="0.58799999999999997"/>
    <n v="0.41200000000000003"/>
  </r>
  <r>
    <s v="Mum-TCL041"/>
    <x v="40"/>
    <x v="0"/>
    <n v="80"/>
    <n v="31"/>
    <n v="43"/>
    <n v="77"/>
    <n v="87"/>
    <n v="318"/>
    <n v="500"/>
    <n v="0.63600000000000001"/>
    <n v="0.36399999999999999"/>
  </r>
  <r>
    <s v="Mum-TCL042"/>
    <x v="41"/>
    <x v="1"/>
    <n v="64"/>
    <n v="37"/>
    <n v="79"/>
    <n v="98"/>
    <n v="35"/>
    <n v="313"/>
    <n v="500"/>
    <n v="0.626"/>
    <n v="0.374"/>
  </r>
  <r>
    <s v="Mum-TCL043"/>
    <x v="42"/>
    <x v="2"/>
    <n v="49"/>
    <n v="61"/>
    <n v="95"/>
    <n v="93"/>
    <n v="57"/>
    <n v="355"/>
    <n v="500"/>
    <n v="0.71"/>
    <n v="0.29000000000000004"/>
  </r>
  <r>
    <s v="Mum-TCL044"/>
    <x v="43"/>
    <x v="3"/>
    <n v="66"/>
    <n v="76"/>
    <n v="67"/>
    <n v="25"/>
    <n v="41"/>
    <n v="275"/>
    <n v="500"/>
    <n v="0.55000000000000004"/>
    <n v="0.44999999999999996"/>
  </r>
  <r>
    <s v="Mum-TCL045"/>
    <x v="44"/>
    <x v="4"/>
    <n v="38"/>
    <n v="18"/>
    <n v="53"/>
    <n v="12"/>
    <n v="85"/>
    <n v="206"/>
    <n v="500"/>
    <n v="0.41199999999999998"/>
    <n v="0.58800000000000008"/>
  </r>
  <r>
    <s v="Mum-TCL046"/>
    <x v="45"/>
    <x v="5"/>
    <n v="80"/>
    <n v="39"/>
    <n v="85"/>
    <n v="38"/>
    <n v="10"/>
    <n v="252"/>
    <n v="500"/>
    <n v="0.504"/>
    <n v="0.496"/>
  </r>
  <r>
    <s v="Mum-TCL047"/>
    <x v="46"/>
    <x v="6"/>
    <n v="19"/>
    <n v="100"/>
    <n v="90"/>
    <n v="17"/>
    <n v="39"/>
    <n v="265"/>
    <n v="500"/>
    <n v="0.53"/>
    <n v="0.47"/>
  </r>
  <r>
    <s v="Mum-TCL048"/>
    <x v="47"/>
    <x v="7"/>
    <n v="18"/>
    <n v="14"/>
    <n v="52"/>
    <n v="19"/>
    <n v="75"/>
    <n v="178"/>
    <n v="500"/>
    <n v="0.35599999999999998"/>
    <n v="0.64400000000000002"/>
  </r>
  <r>
    <s v="Mum-TCL049"/>
    <x v="48"/>
    <x v="0"/>
    <n v="40"/>
    <n v="45"/>
    <n v="95"/>
    <n v="72"/>
    <n v="37"/>
    <n v="289"/>
    <n v="500"/>
    <n v="0.57799999999999996"/>
    <n v="0.42200000000000004"/>
  </r>
  <r>
    <s v="Mum-TCL050"/>
    <x v="49"/>
    <x v="1"/>
    <n v="79"/>
    <n v="26"/>
    <n v="83"/>
    <n v="83"/>
    <n v="70"/>
    <n v="341"/>
    <n v="500"/>
    <n v="0.68200000000000005"/>
    <n v="0.31799999999999995"/>
  </r>
  <r>
    <s v="Mum-TCL051"/>
    <x v="0"/>
    <x v="2"/>
    <n v="41"/>
    <n v="70"/>
    <n v="62"/>
    <n v="34"/>
    <n v="22"/>
    <n v="229"/>
    <n v="500"/>
    <n v="0.45800000000000002"/>
    <n v="0.54200000000000004"/>
  </r>
  <r>
    <s v="Mum-TCL052"/>
    <x v="1"/>
    <x v="3"/>
    <n v="22"/>
    <n v="94"/>
    <n v="65"/>
    <n v="55"/>
    <n v="64"/>
    <n v="300"/>
    <n v="500"/>
    <n v="0.6"/>
    <n v="0.4"/>
  </r>
  <r>
    <s v="Mum-TCL053"/>
    <x v="2"/>
    <x v="4"/>
    <n v="62"/>
    <n v="69"/>
    <n v="16"/>
    <n v="96"/>
    <n v="93"/>
    <n v="336"/>
    <n v="500"/>
    <n v="0.67200000000000004"/>
    <n v="0.32799999999999996"/>
  </r>
  <r>
    <s v="Mum-TCL054"/>
    <x v="3"/>
    <x v="5"/>
    <n v="92"/>
    <n v="22"/>
    <n v="17"/>
    <n v="61"/>
    <n v="53"/>
    <n v="245"/>
    <n v="500"/>
    <n v="0.49"/>
    <n v="0.51"/>
  </r>
  <r>
    <s v="Mum-TCL055"/>
    <x v="4"/>
    <x v="6"/>
    <n v="23"/>
    <n v="41"/>
    <n v="34"/>
    <n v="34"/>
    <n v="78"/>
    <n v="210"/>
    <n v="500"/>
    <n v="0.42"/>
    <n v="0.58000000000000007"/>
  </r>
  <r>
    <s v="Mum-TCL056"/>
    <x v="5"/>
    <x v="7"/>
    <n v="67"/>
    <n v="27"/>
    <n v="64"/>
    <n v="33"/>
    <n v="45"/>
    <n v="236"/>
    <n v="500"/>
    <n v="0.47199999999999998"/>
    <n v="0.52800000000000002"/>
  </r>
  <r>
    <s v="Mum-TCL057"/>
    <x v="6"/>
    <x v="0"/>
    <n v="69"/>
    <n v="41"/>
    <n v="19"/>
    <n v="66"/>
    <n v="80"/>
    <n v="275"/>
    <n v="500"/>
    <n v="0.55000000000000004"/>
    <n v="0.44999999999999996"/>
  </r>
  <r>
    <s v="Mum-TCL058"/>
    <x v="7"/>
    <x v="1"/>
    <n v="22"/>
    <n v="16"/>
    <n v="93"/>
    <n v="79"/>
    <n v="11"/>
    <n v="221"/>
    <n v="500"/>
    <n v="0.442"/>
    <n v="0.55800000000000005"/>
  </r>
  <r>
    <s v="Mum-TCL059"/>
    <x v="8"/>
    <x v="2"/>
    <n v="21"/>
    <n v="40"/>
    <n v="31"/>
    <n v="62"/>
    <n v="72"/>
    <n v="226"/>
    <n v="500"/>
    <n v="0.45200000000000001"/>
    <n v="0.54800000000000004"/>
  </r>
  <r>
    <s v="Mum-TCL060"/>
    <x v="9"/>
    <x v="3"/>
    <n v="71"/>
    <n v="37"/>
    <n v="61"/>
    <n v="17"/>
    <n v="31"/>
    <n v="217"/>
    <n v="500"/>
    <n v="0.434"/>
    <n v="0.56600000000000006"/>
  </r>
  <r>
    <s v="Mum-TCL061"/>
    <x v="10"/>
    <x v="4"/>
    <n v="58"/>
    <n v="10"/>
    <n v="59"/>
    <n v="43"/>
    <n v="68"/>
    <n v="238"/>
    <n v="500"/>
    <n v="0.47599999999999998"/>
    <n v="0.52400000000000002"/>
  </r>
  <r>
    <s v="Mum-TCL062"/>
    <x v="11"/>
    <x v="5"/>
    <n v="46"/>
    <n v="64"/>
    <n v="99"/>
    <n v="81"/>
    <n v="94"/>
    <n v="384"/>
    <n v="500"/>
    <n v="0.76800000000000002"/>
    <n v="0.23199999999999998"/>
  </r>
  <r>
    <s v="Mum-TCL063"/>
    <x v="12"/>
    <x v="6"/>
    <n v="72"/>
    <n v="29"/>
    <n v="34"/>
    <n v="47"/>
    <n v="37"/>
    <n v="219"/>
    <n v="500"/>
    <n v="0.438"/>
    <n v="0.56200000000000006"/>
  </r>
  <r>
    <s v="Mum-TCL064"/>
    <x v="13"/>
    <x v="7"/>
    <n v="17"/>
    <n v="84"/>
    <n v="79"/>
    <n v="17"/>
    <n v="50"/>
    <n v="247"/>
    <n v="500"/>
    <n v="0.49399999999999999"/>
    <n v="0.50600000000000001"/>
  </r>
  <r>
    <s v="Mum-TCL065"/>
    <x v="14"/>
    <x v="0"/>
    <n v="17"/>
    <n v="16"/>
    <n v="84"/>
    <n v="71"/>
    <n v="74"/>
    <n v="262"/>
    <n v="500"/>
    <n v="0.52400000000000002"/>
    <n v="0.47599999999999998"/>
  </r>
  <r>
    <s v="Mum-TCL066"/>
    <x v="15"/>
    <x v="1"/>
    <n v="77"/>
    <n v="30"/>
    <n v="17"/>
    <n v="75"/>
    <n v="20"/>
    <n v="219"/>
    <n v="500"/>
    <n v="0.438"/>
    <n v="0.56200000000000006"/>
  </r>
  <r>
    <s v="Mum-TCL067"/>
    <x v="16"/>
    <x v="2"/>
    <n v="33"/>
    <n v="18"/>
    <n v="86"/>
    <n v="18"/>
    <n v="96"/>
    <n v="251"/>
    <n v="500"/>
    <n v="0.502"/>
    <n v="0.498"/>
  </r>
  <r>
    <s v="Mum-TCL068"/>
    <x v="17"/>
    <x v="3"/>
    <n v="40"/>
    <n v="61"/>
    <n v="25"/>
    <n v="82"/>
    <n v="41"/>
    <n v="249"/>
    <n v="500"/>
    <n v="0.498"/>
    <n v="0.502"/>
  </r>
  <r>
    <s v="Mum-TCL069"/>
    <x v="18"/>
    <x v="4"/>
    <n v="84"/>
    <n v="86"/>
    <n v="15"/>
    <n v="89"/>
    <n v="20"/>
    <n v="294"/>
    <n v="500"/>
    <n v="0.58799999999999997"/>
    <n v="0.41200000000000003"/>
  </r>
  <r>
    <s v="Mum-TCL070"/>
    <x v="19"/>
    <x v="5"/>
    <n v="63"/>
    <n v="94"/>
    <n v="84"/>
    <n v="82"/>
    <n v="76"/>
    <n v="399"/>
    <n v="500"/>
    <n v="0.79800000000000004"/>
    <n v="0.20199999999999996"/>
  </r>
  <r>
    <s v="Mum-TCL071"/>
    <x v="20"/>
    <x v="6"/>
    <n v="50"/>
    <n v="43"/>
    <n v="36"/>
    <n v="95"/>
    <n v="50"/>
    <n v="274"/>
    <n v="500"/>
    <n v="0.54800000000000004"/>
    <n v="0.45199999999999996"/>
  </r>
  <r>
    <s v="Mum-TCL072"/>
    <x v="21"/>
    <x v="7"/>
    <n v="40"/>
    <n v="43"/>
    <n v="60"/>
    <n v="26"/>
    <n v="95"/>
    <n v="264"/>
    <n v="500"/>
    <n v="0.52800000000000002"/>
    <n v="0.47199999999999998"/>
  </r>
  <r>
    <s v="Mum-TCL073"/>
    <x v="22"/>
    <x v="0"/>
    <n v="92"/>
    <n v="48"/>
    <n v="68"/>
    <n v="50"/>
    <n v="19"/>
    <n v="277"/>
    <n v="500"/>
    <n v="0.55400000000000005"/>
    <n v="0.44599999999999995"/>
  </r>
  <r>
    <s v="Mum-TCL074"/>
    <x v="23"/>
    <x v="1"/>
    <n v="11"/>
    <n v="68"/>
    <n v="89"/>
    <n v="82"/>
    <n v="22"/>
    <n v="272"/>
    <n v="500"/>
    <n v="0.54400000000000004"/>
    <n v="0.45599999999999996"/>
  </r>
  <r>
    <s v="Mum-TCL075"/>
    <x v="24"/>
    <x v="2"/>
    <n v="19"/>
    <n v="78"/>
    <n v="37"/>
    <n v="74"/>
    <n v="43"/>
    <n v="251"/>
    <n v="500"/>
    <n v="0.502"/>
    <n v="0.498"/>
  </r>
  <r>
    <s v="Mum-TCL076"/>
    <x v="25"/>
    <x v="3"/>
    <n v="26"/>
    <n v="54"/>
    <n v="18"/>
    <n v="41"/>
    <n v="57"/>
    <n v="196"/>
    <n v="500"/>
    <n v="0.39200000000000002"/>
    <n v="0.60799999999999998"/>
  </r>
  <r>
    <s v="Mum-TCL077"/>
    <x v="26"/>
    <x v="4"/>
    <n v="46"/>
    <n v="30"/>
    <n v="66"/>
    <n v="79"/>
    <n v="100"/>
    <n v="321"/>
    <n v="500"/>
    <n v="0.64200000000000002"/>
    <n v="0.35799999999999998"/>
  </r>
  <r>
    <s v="Mum-TCL078"/>
    <x v="27"/>
    <x v="5"/>
    <n v="48"/>
    <n v="88"/>
    <n v="93"/>
    <n v="77"/>
    <n v="11"/>
    <n v="317"/>
    <n v="500"/>
    <n v="0.63400000000000001"/>
    <n v="0.36599999999999999"/>
  </r>
  <r>
    <s v="Mum-TCL079"/>
    <x v="28"/>
    <x v="6"/>
    <n v="95"/>
    <n v="80"/>
    <n v="48"/>
    <n v="94"/>
    <n v="23"/>
    <n v="340"/>
    <n v="500"/>
    <n v="0.68"/>
    <n v="0.31999999999999995"/>
  </r>
  <r>
    <s v="Mum-TCL080"/>
    <x v="29"/>
    <x v="7"/>
    <n v="27"/>
    <n v="43"/>
    <n v="24"/>
    <n v="23"/>
    <n v="80"/>
    <n v="197"/>
    <n v="500"/>
    <n v="0.39400000000000002"/>
    <n v="0.60599999999999998"/>
  </r>
  <r>
    <s v="Mum-TCL081"/>
    <x v="30"/>
    <x v="0"/>
    <n v="29"/>
    <n v="44"/>
    <n v="46"/>
    <n v="87"/>
    <n v="36"/>
    <n v="242"/>
    <n v="500"/>
    <n v="0.48399999999999999"/>
    <n v="0.51600000000000001"/>
  </r>
  <r>
    <s v="Mum-TCL082"/>
    <x v="31"/>
    <x v="1"/>
    <n v="53"/>
    <n v="36"/>
    <n v="97"/>
    <n v="91"/>
    <n v="43"/>
    <n v="320"/>
    <n v="500"/>
    <n v="0.64"/>
    <n v="0.36"/>
  </r>
  <r>
    <s v="Mum-TCL083"/>
    <x v="32"/>
    <x v="2"/>
    <n v="74"/>
    <n v="72"/>
    <n v="42"/>
    <n v="16"/>
    <n v="21"/>
    <n v="225"/>
    <n v="500"/>
    <n v="0.45"/>
    <n v="0.55000000000000004"/>
  </r>
  <r>
    <s v="Mum-TCL084"/>
    <x v="33"/>
    <x v="3"/>
    <n v="91"/>
    <n v="64"/>
    <n v="45"/>
    <n v="15"/>
    <n v="10"/>
    <n v="225"/>
    <n v="500"/>
    <n v="0.45"/>
    <n v="0.55000000000000004"/>
  </r>
  <r>
    <s v="Mum-TCL085"/>
    <x v="34"/>
    <x v="4"/>
    <n v="52"/>
    <n v="26"/>
    <n v="91"/>
    <n v="43"/>
    <n v="30"/>
    <n v="242"/>
    <n v="500"/>
    <n v="0.48399999999999999"/>
    <n v="0.51600000000000001"/>
  </r>
  <r>
    <s v="Mum-TCL086"/>
    <x v="35"/>
    <x v="5"/>
    <n v="66"/>
    <n v="80"/>
    <n v="100"/>
    <n v="64"/>
    <n v="81"/>
    <n v="391"/>
    <n v="500"/>
    <n v="0.78200000000000003"/>
    <n v="0.21799999999999997"/>
  </r>
  <r>
    <s v="Mum-TCL087"/>
    <x v="36"/>
    <x v="6"/>
    <n v="11"/>
    <n v="24"/>
    <n v="19"/>
    <n v="98"/>
    <n v="29"/>
    <n v="181"/>
    <n v="500"/>
    <n v="0.36199999999999999"/>
    <n v="0.63800000000000001"/>
  </r>
  <r>
    <s v="Mum-TCL088"/>
    <x v="37"/>
    <x v="7"/>
    <n v="79"/>
    <n v="14"/>
    <n v="57"/>
    <n v="84"/>
    <n v="80"/>
    <n v="314"/>
    <n v="500"/>
    <n v="0.628"/>
    <n v="0.372"/>
  </r>
  <r>
    <s v="Mum-TCL089"/>
    <x v="38"/>
    <x v="0"/>
    <n v="28"/>
    <n v="65"/>
    <n v="26"/>
    <n v="15"/>
    <n v="49"/>
    <n v="183"/>
    <n v="500"/>
    <n v="0.36599999999999999"/>
    <n v="0.63400000000000001"/>
  </r>
  <r>
    <s v="Mum-TCL090"/>
    <x v="39"/>
    <x v="1"/>
    <n v="56"/>
    <n v="15"/>
    <n v="55"/>
    <n v="36"/>
    <n v="97"/>
    <n v="259"/>
    <n v="500"/>
    <n v="0.51800000000000002"/>
    <n v="0.48199999999999998"/>
  </r>
  <r>
    <s v="Mum-TCL091"/>
    <x v="40"/>
    <x v="2"/>
    <n v="41"/>
    <n v="95"/>
    <n v="23"/>
    <n v="55"/>
    <n v="81"/>
    <n v="295"/>
    <n v="500"/>
    <n v="0.59"/>
    <n v="0.41000000000000003"/>
  </r>
  <r>
    <s v="Mum-TCL092"/>
    <x v="41"/>
    <x v="3"/>
    <n v="62"/>
    <n v="89"/>
    <n v="29"/>
    <n v="40"/>
    <n v="30"/>
    <n v="250"/>
    <n v="500"/>
    <n v="0.5"/>
    <n v="0.5"/>
  </r>
  <r>
    <s v="Mum-TCL093"/>
    <x v="42"/>
    <x v="4"/>
    <n v="32"/>
    <n v="62"/>
    <n v="13"/>
    <n v="32"/>
    <n v="52"/>
    <n v="191"/>
    <n v="500"/>
    <n v="0.38200000000000001"/>
    <n v="0.61799999999999999"/>
  </r>
  <r>
    <s v="Mum-TCL094"/>
    <x v="43"/>
    <x v="5"/>
    <n v="62"/>
    <n v="95"/>
    <n v="41"/>
    <n v="44"/>
    <n v="30"/>
    <n v="272"/>
    <n v="500"/>
    <n v="0.54400000000000004"/>
    <n v="0.45599999999999996"/>
  </r>
  <r>
    <s v="Mum-TCL095"/>
    <x v="44"/>
    <x v="6"/>
    <n v="99"/>
    <n v="23"/>
    <n v="58"/>
    <n v="14"/>
    <n v="70"/>
    <n v="264"/>
    <n v="500"/>
    <n v="0.52800000000000002"/>
    <n v="0.47199999999999998"/>
  </r>
  <r>
    <s v="Mum-TCL096"/>
    <x v="45"/>
    <x v="7"/>
    <n v="38"/>
    <n v="35"/>
    <n v="68"/>
    <n v="54"/>
    <n v="49"/>
    <n v="244"/>
    <n v="500"/>
    <n v="0.48799999999999999"/>
    <n v="0.51200000000000001"/>
  </r>
  <r>
    <s v="Mum-TCL097"/>
    <x v="46"/>
    <x v="0"/>
    <n v="39"/>
    <n v="38"/>
    <n v="13"/>
    <n v="94"/>
    <n v="34"/>
    <n v="218"/>
    <n v="500"/>
    <n v="0.436"/>
    <n v="0.56400000000000006"/>
  </r>
  <r>
    <s v="Mum-TCL098"/>
    <x v="47"/>
    <x v="1"/>
    <n v="61"/>
    <n v="52"/>
    <n v="45"/>
    <n v="18"/>
    <n v="45"/>
    <n v="221"/>
    <n v="500"/>
    <n v="0.442"/>
    <n v="0.55800000000000005"/>
  </r>
  <r>
    <s v="Mum-TCL099"/>
    <x v="48"/>
    <x v="2"/>
    <n v="54"/>
    <n v="92"/>
    <n v="75"/>
    <n v="61"/>
    <n v="96"/>
    <n v="378"/>
    <n v="500"/>
    <n v="0.75600000000000001"/>
    <n v="0.24399999999999999"/>
  </r>
  <r>
    <s v="Mum-TCL100"/>
    <x v="49"/>
    <x v="3"/>
    <n v="78"/>
    <n v="52"/>
    <n v="13"/>
    <n v="24"/>
    <n v="43"/>
    <n v="210"/>
    <n v="500"/>
    <n v="0.42"/>
    <n v="0.5800000000000000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0592735-4299-4EC5-AD6F-DF58BD297644}"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51">
        <item x="49"/>
        <item x="28"/>
        <item x="21"/>
        <item x="33"/>
        <item x="4"/>
        <item x="2"/>
        <item x="37"/>
        <item x="32"/>
        <item x="47"/>
        <item x="44"/>
        <item x="24"/>
        <item x="31"/>
        <item x="39"/>
        <item x="30"/>
        <item x="35"/>
        <item x="45"/>
        <item x="20"/>
        <item x="25"/>
        <item x="40"/>
        <item x="43"/>
        <item x="23"/>
        <item x="48"/>
        <item x="19"/>
        <item x="26"/>
        <item x="0"/>
        <item x="42"/>
        <item x="38"/>
        <item x="29"/>
        <item x="18"/>
        <item x="36"/>
        <item x="46"/>
        <item x="41"/>
        <item x="27"/>
        <item x="17"/>
        <item x="15"/>
        <item x="16"/>
        <item x="14"/>
        <item x="13"/>
        <item x="12"/>
        <item x="11"/>
        <item x="10"/>
        <item x="9"/>
        <item x="8"/>
        <item x="7"/>
        <item x="6"/>
        <item x="5"/>
        <item x="3"/>
        <item x="1"/>
        <item x="22"/>
        <item x="34"/>
        <item t="default"/>
      </items>
    </pivotField>
    <pivotField showAll="0">
      <items count="9">
        <item h="1" x="0"/>
        <item h="1" x="2"/>
        <item h="1" x="7"/>
        <item x="5"/>
        <item h="1" x="6"/>
        <item h="1" x="3"/>
        <item h="1" x="1"/>
        <item h="1" x="4"/>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
    </i>
    <i>
      <x v="6"/>
    </i>
    <i>
      <x v="15"/>
    </i>
    <i>
      <x v="37"/>
    </i>
    <i>
      <x v="46"/>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633BA4-69A2-4A58-8E30-D0DDAB4A39AB}"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51">
        <item x="49"/>
        <item x="28"/>
        <item x="21"/>
        <item x="33"/>
        <item x="4"/>
        <item x="2"/>
        <item x="37"/>
        <item x="32"/>
        <item x="47"/>
        <item x="44"/>
        <item x="24"/>
        <item x="31"/>
        <item x="39"/>
        <item x="30"/>
        <item x="35"/>
        <item x="45"/>
        <item x="20"/>
        <item x="25"/>
        <item x="40"/>
        <item x="43"/>
        <item x="23"/>
        <item x="48"/>
        <item x="19"/>
        <item x="26"/>
        <item x="0"/>
        <item x="42"/>
        <item x="38"/>
        <item x="29"/>
        <item x="18"/>
        <item x="36"/>
        <item x="46"/>
        <item x="41"/>
        <item x="27"/>
        <item x="17"/>
        <item x="15"/>
        <item x="16"/>
        <item x="14"/>
        <item x="13"/>
        <item x="12"/>
        <item x="11"/>
        <item x="10"/>
        <item x="9"/>
        <item x="8"/>
        <item x="7"/>
        <item x="6"/>
        <item x="5"/>
        <item x="3"/>
        <item x="1"/>
        <item x="22"/>
        <item x="34"/>
        <item t="default"/>
      </items>
    </pivotField>
    <pivotField showAll="0">
      <items count="9">
        <item h="1" x="0"/>
        <item h="1" x="2"/>
        <item h="1" x="7"/>
        <item x="5"/>
        <item h="1" x="6"/>
        <item h="1" x="3"/>
        <item h="1" x="1"/>
        <item h="1" x="4"/>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
    </i>
    <i>
      <x v="6"/>
    </i>
    <i>
      <x v="15"/>
    </i>
    <i>
      <x v="37"/>
    </i>
    <i>
      <x v="46"/>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81A9B5-7D63-47E5-8610-38482C8004BD}"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51">
        <item x="49"/>
        <item x="28"/>
        <item x="21"/>
        <item x="33"/>
        <item x="4"/>
        <item x="2"/>
        <item x="37"/>
        <item x="32"/>
        <item x="47"/>
        <item x="44"/>
        <item x="24"/>
        <item x="31"/>
        <item x="39"/>
        <item x="30"/>
        <item x="35"/>
        <item x="45"/>
        <item x="20"/>
        <item x="25"/>
        <item x="40"/>
        <item x="43"/>
        <item x="23"/>
        <item x="48"/>
        <item x="19"/>
        <item x="26"/>
        <item x="0"/>
        <item x="42"/>
        <item x="38"/>
        <item x="29"/>
        <item x="18"/>
        <item x="36"/>
        <item x="46"/>
        <item x="41"/>
        <item x="27"/>
        <item x="17"/>
        <item x="15"/>
        <item x="16"/>
        <item x="14"/>
        <item x="13"/>
        <item x="12"/>
        <item x="11"/>
        <item x="10"/>
        <item x="9"/>
        <item x="8"/>
        <item x="7"/>
        <item x="6"/>
        <item x="5"/>
        <item x="3"/>
        <item x="1"/>
        <item x="22"/>
        <item x="34"/>
        <item t="default"/>
      </items>
    </pivotField>
    <pivotField showAll="0">
      <items count="9">
        <item h="1" x="0"/>
        <item h="1" x="2"/>
        <item h="1" x="7"/>
        <item h="1" x="5"/>
        <item h="1" x="6"/>
        <item h="1" x="3"/>
        <item h="1" x="1"/>
        <item x="4"/>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26"/>
    </i>
    <i>
      <x v="29"/>
    </i>
    <i>
      <x v="37"/>
    </i>
    <i>
      <x v="42"/>
    </i>
  </rowItems>
  <colItems count="1">
    <i/>
  </colItems>
  <dataFields count="1">
    <dataField name="Total Sales " fld="8" baseField="1" baseItem="1"/>
  </dataField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9DBFB09-2149-4899-9FA1-D2D379888467}"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51">
        <item x="49"/>
        <item x="28"/>
        <item x="21"/>
        <item x="33"/>
        <item x="4"/>
        <item x="2"/>
        <item x="37"/>
        <item x="32"/>
        <item x="47"/>
        <item x="44"/>
        <item x="24"/>
        <item x="31"/>
        <item x="39"/>
        <item x="30"/>
        <item x="35"/>
        <item x="45"/>
        <item x="20"/>
        <item x="25"/>
        <item x="40"/>
        <item x="43"/>
        <item x="23"/>
        <item x="48"/>
        <item x="19"/>
        <item x="26"/>
        <item x="0"/>
        <item x="42"/>
        <item x="38"/>
        <item x="29"/>
        <item x="18"/>
        <item x="36"/>
        <item x="46"/>
        <item x="41"/>
        <item x="27"/>
        <item x="17"/>
        <item x="15"/>
        <item x="16"/>
        <item x="14"/>
        <item x="13"/>
        <item x="12"/>
        <item x="11"/>
        <item x="10"/>
        <item x="9"/>
        <item x="8"/>
        <item x="7"/>
        <item x="6"/>
        <item x="5"/>
        <item x="3"/>
        <item x="1"/>
        <item x="22"/>
        <item x="34"/>
        <item t="default"/>
      </items>
    </pivotField>
    <pivotField showAll="0">
      <items count="9">
        <item h="1" x="0"/>
        <item h="1" x="2"/>
        <item h="1" x="7"/>
        <item x="5"/>
        <item h="1" x="6"/>
        <item h="1" x="3"/>
        <item h="1" x="1"/>
        <item h="1" x="4"/>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22"/>
    </i>
    <i>
      <x v="32"/>
    </i>
    <i>
      <x v="39"/>
    </i>
    <i>
      <x v="45"/>
    </i>
  </rowItems>
  <colItems count="1">
    <i/>
  </colItems>
  <dataFields count="1">
    <dataField name="Total Sales " fld="8" baseField="1" baseItem="1"/>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8882F42-E9C8-4ADA-972D-8F55F663945E}" sourceName="Region">
  <pivotTables>
    <pivotTable tabId="2" name="PivotTable1"/>
    <pivotTable tabId="2" name="PivotTable4"/>
    <pivotTable tabId="2" name="PivotTable3"/>
  </pivotTables>
  <data>
    <tabular pivotCacheId="1019725483">
      <items count="8">
        <i x="0"/>
        <i x="2"/>
        <i x="7"/>
        <i x="5" s="1"/>
        <i x="6"/>
        <i x="3"/>
        <i x="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0B1CE09-C246-4EEF-9CD7-EE20376EDA97}"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58CAB-5F10-40A8-AC08-F3124343CC2A}">
  <sheetPr codeName="Sheet1"/>
  <dimension ref="A1:K20"/>
  <sheetViews>
    <sheetView showGridLines="0" showRowColHeaders="0" tabSelected="1" zoomScale="120" zoomScaleNormal="120" workbookViewId="0">
      <selection activeCell="M5" sqref="M5"/>
    </sheetView>
  </sheetViews>
  <sheetFormatPr defaultRowHeight="14.4" x14ac:dyDescent="0.3"/>
  <cols>
    <col min="1" max="1" width="15.77734375" bestFit="1" customWidth="1"/>
    <col min="2" max="2" width="10.44140625" bestFit="1" customWidth="1"/>
    <col min="3" max="3" width="3.44140625" customWidth="1"/>
    <col min="4" max="4" width="15.44140625" customWidth="1"/>
    <col min="5" max="5" width="11" customWidth="1"/>
    <col min="6" max="6" width="3.44140625" customWidth="1"/>
    <col min="7" max="7" width="15.88671875" customWidth="1"/>
    <col min="8" max="8" width="15.5546875" bestFit="1" customWidth="1"/>
    <col min="9" max="9" width="3.44140625" customWidth="1"/>
    <col min="10" max="10" width="16.77734375" customWidth="1"/>
    <col min="11" max="11" width="26.33203125" customWidth="1"/>
  </cols>
  <sheetData>
    <row r="1" spans="1:11" ht="22.2" customHeight="1" x14ac:dyDescent="0.3">
      <c r="A1" s="7" t="b">
        <v>1</v>
      </c>
      <c r="B1" s="7"/>
      <c r="C1" s="7"/>
      <c r="D1" s="7" t="b">
        <v>0</v>
      </c>
      <c r="E1" s="7"/>
      <c r="F1" s="7"/>
      <c r="G1" s="7" t="b">
        <v>1</v>
      </c>
      <c r="H1" s="7"/>
      <c r="I1" s="7"/>
      <c r="J1" s="7" t="b">
        <v>1</v>
      </c>
      <c r="K1" s="7"/>
    </row>
    <row r="2" spans="1:11" ht="49.2" customHeight="1" x14ac:dyDescent="0.3">
      <c r="A2" s="6"/>
      <c r="B2" s="6"/>
      <c r="C2" s="6"/>
      <c r="D2" s="6"/>
      <c r="E2" s="6"/>
      <c r="F2" s="6"/>
      <c r="G2" s="6"/>
      <c r="H2" s="6"/>
      <c r="I2" s="6"/>
      <c r="J2" s="6"/>
      <c r="K2" s="6"/>
    </row>
    <row r="3" spans="1:11" x14ac:dyDescent="0.3">
      <c r="A3" s="3" t="s">
        <v>170</v>
      </c>
      <c r="B3" t="s">
        <v>171</v>
      </c>
      <c r="C3" s="6"/>
      <c r="D3" s="3" t="s">
        <v>170</v>
      </c>
      <c r="E3" t="s">
        <v>171</v>
      </c>
      <c r="F3" s="6"/>
      <c r="G3" s="3" t="s">
        <v>170</v>
      </c>
      <c r="H3" t="s">
        <v>172</v>
      </c>
      <c r="I3" s="6"/>
      <c r="J3" s="3" t="s">
        <v>170</v>
      </c>
      <c r="K3" t="s">
        <v>173</v>
      </c>
    </row>
    <row r="4" spans="1:11" x14ac:dyDescent="0.3">
      <c r="A4" s="4" t="s">
        <v>91</v>
      </c>
      <c r="B4" s="5">
        <v>391</v>
      </c>
      <c r="C4" s="6"/>
      <c r="D4" s="4" t="s">
        <v>115</v>
      </c>
      <c r="E4" s="5">
        <v>399</v>
      </c>
      <c r="F4" s="6"/>
      <c r="G4" s="4" t="s">
        <v>63</v>
      </c>
      <c r="H4" s="2">
        <v>0.46200000000000002</v>
      </c>
      <c r="I4" s="6"/>
      <c r="J4" s="4" t="s">
        <v>63</v>
      </c>
      <c r="K4" s="2">
        <v>0.53800000000000003</v>
      </c>
    </row>
    <row r="5" spans="1:11" x14ac:dyDescent="0.3">
      <c r="A5" s="4" t="s">
        <v>59</v>
      </c>
      <c r="B5" s="5">
        <v>399</v>
      </c>
      <c r="C5" s="6"/>
      <c r="D5" s="4" t="s">
        <v>97</v>
      </c>
      <c r="E5" s="5">
        <v>395</v>
      </c>
      <c r="F5" s="6"/>
      <c r="G5" s="4" t="s">
        <v>95</v>
      </c>
      <c r="H5" s="2">
        <v>0.40400000000000003</v>
      </c>
      <c r="I5" s="6"/>
      <c r="J5" s="4" t="s">
        <v>95</v>
      </c>
      <c r="K5" s="2">
        <v>0.59599999999999997</v>
      </c>
    </row>
    <row r="6" spans="1:11" x14ac:dyDescent="0.3">
      <c r="A6" s="4" t="s">
        <v>75</v>
      </c>
      <c r="B6" s="5">
        <v>317</v>
      </c>
      <c r="C6" s="6"/>
      <c r="D6" s="4" t="s">
        <v>93</v>
      </c>
      <c r="E6" s="5">
        <v>426</v>
      </c>
      <c r="F6" s="6"/>
      <c r="G6" s="4" t="s">
        <v>111</v>
      </c>
      <c r="H6" s="2">
        <v>0.504</v>
      </c>
      <c r="I6" s="6"/>
      <c r="J6" s="4" t="s">
        <v>111</v>
      </c>
      <c r="K6" s="2">
        <v>0.496</v>
      </c>
    </row>
    <row r="7" spans="1:11" x14ac:dyDescent="0.3">
      <c r="A7" s="4" t="s">
        <v>43</v>
      </c>
      <c r="B7" s="5">
        <v>384</v>
      </c>
      <c r="C7" s="6"/>
      <c r="D7" s="4" t="s">
        <v>47</v>
      </c>
      <c r="E7" s="5">
        <v>414</v>
      </c>
      <c r="F7" s="6"/>
      <c r="G7" s="4" t="s">
        <v>47</v>
      </c>
      <c r="H7" s="2">
        <v>0.33400000000000002</v>
      </c>
      <c r="I7" s="6"/>
      <c r="J7" s="4" t="s">
        <v>47</v>
      </c>
      <c r="K7" s="2">
        <v>0.66599999999999993</v>
      </c>
    </row>
    <row r="8" spans="1:11" x14ac:dyDescent="0.3">
      <c r="A8" s="4" t="s">
        <v>28</v>
      </c>
      <c r="B8" s="5">
        <v>332</v>
      </c>
      <c r="C8" s="6"/>
      <c r="D8" s="4" t="s">
        <v>37</v>
      </c>
      <c r="E8" s="5">
        <v>405</v>
      </c>
      <c r="F8" s="6"/>
      <c r="G8" s="4" t="s">
        <v>22</v>
      </c>
      <c r="H8" s="2">
        <v>0.49</v>
      </c>
      <c r="I8" s="6"/>
      <c r="J8" s="4" t="s">
        <v>22</v>
      </c>
      <c r="K8" s="2">
        <v>0.51</v>
      </c>
    </row>
    <row r="9" spans="1:11" x14ac:dyDescent="0.3">
      <c r="A9" s="6"/>
      <c r="B9" s="6"/>
      <c r="C9" s="6"/>
      <c r="D9" s="6"/>
      <c r="E9" s="6"/>
      <c r="F9" s="6"/>
      <c r="G9" s="6"/>
      <c r="H9" s="6"/>
      <c r="I9" s="6"/>
      <c r="J9" s="6"/>
      <c r="K9" s="6"/>
    </row>
    <row r="10" spans="1:11" x14ac:dyDescent="0.3">
      <c r="A10" s="6"/>
      <c r="B10" s="6"/>
      <c r="C10" s="6"/>
      <c r="D10" s="6"/>
      <c r="E10" s="6"/>
      <c r="F10" s="6"/>
      <c r="G10" s="6"/>
      <c r="H10" s="6"/>
      <c r="I10" s="6"/>
      <c r="J10" s="6"/>
      <c r="K10" s="6"/>
    </row>
    <row r="11" spans="1:11" x14ac:dyDescent="0.3">
      <c r="A11" s="6"/>
      <c r="B11" s="6"/>
      <c r="C11" s="6"/>
      <c r="D11" s="6"/>
      <c r="E11" s="6"/>
      <c r="F11" s="6"/>
      <c r="G11" s="6"/>
      <c r="H11" s="6"/>
      <c r="I11" s="6"/>
      <c r="J11" s="6"/>
      <c r="K11" s="6"/>
    </row>
    <row r="12" spans="1:11" x14ac:dyDescent="0.3">
      <c r="A12" s="6"/>
      <c r="B12" s="6"/>
      <c r="C12" s="6"/>
      <c r="D12" s="6"/>
      <c r="E12" s="6"/>
      <c r="F12" s="6"/>
      <c r="G12" s="6"/>
      <c r="H12" s="6"/>
      <c r="I12" s="6"/>
      <c r="J12" s="6"/>
      <c r="K12" s="6"/>
    </row>
    <row r="13" spans="1:11" x14ac:dyDescent="0.3">
      <c r="A13" s="6"/>
      <c r="B13" s="6"/>
      <c r="C13" s="6"/>
      <c r="D13" s="6"/>
      <c r="E13" s="6"/>
      <c r="F13" s="6"/>
      <c r="G13" s="6"/>
      <c r="H13" s="6"/>
      <c r="I13" s="6"/>
      <c r="J13" s="6"/>
      <c r="K13" s="6"/>
    </row>
    <row r="14" spans="1:11" x14ac:dyDescent="0.3">
      <c r="A14" s="6"/>
      <c r="B14" s="6"/>
      <c r="C14" s="6"/>
      <c r="D14" s="6"/>
      <c r="E14" s="6"/>
      <c r="F14" s="6"/>
      <c r="G14" s="6"/>
      <c r="H14" s="6"/>
      <c r="I14" s="6"/>
      <c r="J14" s="6"/>
      <c r="K14" s="6"/>
    </row>
    <row r="15" spans="1:11" x14ac:dyDescent="0.3">
      <c r="A15" s="6"/>
      <c r="B15" s="6"/>
      <c r="C15" s="6"/>
      <c r="D15" s="6"/>
      <c r="E15" s="6"/>
      <c r="F15" s="6"/>
      <c r="G15" s="6"/>
      <c r="H15" s="6"/>
      <c r="I15" s="6"/>
      <c r="J15" s="6"/>
      <c r="K15" s="6"/>
    </row>
    <row r="16" spans="1:11" x14ac:dyDescent="0.3">
      <c r="A16" s="6"/>
      <c r="B16" s="6"/>
      <c r="C16" s="6"/>
      <c r="D16" s="6"/>
      <c r="E16" s="6"/>
      <c r="F16" s="6"/>
      <c r="G16" s="6"/>
      <c r="H16" s="6"/>
      <c r="I16" s="6"/>
      <c r="J16" s="6"/>
      <c r="K16" s="6"/>
    </row>
    <row r="17" spans="1:11" x14ac:dyDescent="0.3">
      <c r="A17" s="6"/>
      <c r="B17" s="6"/>
      <c r="C17" s="6"/>
      <c r="D17" s="6"/>
      <c r="E17" s="6"/>
      <c r="F17" s="6"/>
      <c r="G17" s="6"/>
      <c r="H17" s="6"/>
      <c r="I17" s="6"/>
      <c r="J17" s="6"/>
      <c r="K17" s="6"/>
    </row>
    <row r="18" spans="1:11" x14ac:dyDescent="0.3">
      <c r="A18" s="6"/>
      <c r="B18" s="6"/>
      <c r="C18" s="6"/>
      <c r="D18" s="6"/>
      <c r="E18" s="6"/>
      <c r="F18" s="6"/>
      <c r="G18" s="6"/>
      <c r="H18" s="6"/>
      <c r="I18" s="6"/>
      <c r="J18" s="6"/>
      <c r="K18" s="6"/>
    </row>
    <row r="19" spans="1:11" x14ac:dyDescent="0.3">
      <c r="A19" s="6"/>
      <c r="B19" s="6"/>
      <c r="C19" s="6"/>
      <c r="D19" s="6"/>
      <c r="E19" s="6"/>
      <c r="F19" s="6"/>
      <c r="G19" s="6"/>
      <c r="H19" s="6"/>
      <c r="I19" s="6"/>
      <c r="J19" s="6"/>
      <c r="K19" s="6"/>
    </row>
    <row r="20" spans="1:11" x14ac:dyDescent="0.3">
      <c r="A20" s="6"/>
      <c r="B20" s="6"/>
      <c r="C20" s="6"/>
      <c r="D20" s="6"/>
      <c r="E20" s="6"/>
      <c r="F20" s="6"/>
      <c r="G20" s="6"/>
      <c r="H20" s="6"/>
      <c r="I20" s="6"/>
      <c r="J20" s="6"/>
      <c r="K20" s="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220980</xdr:colOff>
                    <xdr:row>1</xdr:row>
                    <xdr:rowOff>266700</xdr:rowOff>
                  </from>
                  <to>
                    <xdr:col>1</xdr:col>
                    <xdr:colOff>182880</xdr:colOff>
                    <xdr:row>1</xdr:row>
                    <xdr:rowOff>487680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541020</xdr:colOff>
                    <xdr:row>1</xdr:row>
                    <xdr:rowOff>304800</xdr:rowOff>
                  </from>
                  <to>
                    <xdr:col>4</xdr:col>
                    <xdr:colOff>647700</xdr:colOff>
                    <xdr:row>1</xdr:row>
                    <xdr:rowOff>495300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9</xdr:col>
                    <xdr:colOff>1013460</xdr:colOff>
                    <xdr:row>1</xdr:row>
                    <xdr:rowOff>289560</xdr:rowOff>
                  </from>
                  <to>
                    <xdr:col>10</xdr:col>
                    <xdr:colOff>906780</xdr:colOff>
                    <xdr:row>1</xdr:row>
                    <xdr:rowOff>510540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6</xdr:col>
                    <xdr:colOff>670560</xdr:colOff>
                    <xdr:row>1</xdr:row>
                    <xdr:rowOff>281940</xdr:rowOff>
                  </from>
                  <to>
                    <xdr:col>7</xdr:col>
                    <xdr:colOff>624840</xdr:colOff>
                    <xdr:row>1</xdr:row>
                    <xdr:rowOff>502920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01"/>
  <sheetViews>
    <sheetView zoomScale="120" zoomScaleNormal="120" workbookViewId="0">
      <pane ySplit="1" topLeftCell="A81" activePane="bottomLeft" state="frozen"/>
      <selection pane="bottomLeft" activeCell="E91" sqref="A1:L101"/>
    </sheetView>
  </sheetViews>
  <sheetFormatPr defaultRowHeight="14.4" x14ac:dyDescent="0.3"/>
  <cols>
    <col min="1" max="1" width="16" customWidth="1"/>
    <col min="2" max="2" width="22" customWidth="1"/>
    <col min="3" max="3" width="14" customWidth="1"/>
    <col min="4" max="8" width="10" customWidth="1"/>
    <col min="9" max="9" width="14" customWidth="1"/>
    <col min="10" max="10" width="10" customWidth="1"/>
    <col min="11" max="11" width="14" customWidth="1"/>
    <col min="12" max="12" width="20"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12</v>
      </c>
      <c r="B2" t="s">
        <v>13</v>
      </c>
      <c r="C2" t="s">
        <v>14</v>
      </c>
      <c r="D2">
        <v>91</v>
      </c>
      <c r="E2">
        <v>24</v>
      </c>
      <c r="F2">
        <v>13</v>
      </c>
      <c r="G2">
        <v>45</v>
      </c>
      <c r="H2">
        <v>41</v>
      </c>
      <c r="I2">
        <f t="shared" ref="I2:I33" si="0">SUM(D2:H2)</f>
        <v>214</v>
      </c>
      <c r="J2">
        <v>500</v>
      </c>
      <c r="K2" s="2">
        <f t="shared" ref="K2:K33" si="1">I2/J2</f>
        <v>0.42799999999999999</v>
      </c>
      <c r="L2" s="2">
        <f t="shared" ref="L2:L33" si="2">1-K2</f>
        <v>0.57200000000000006</v>
      </c>
    </row>
    <row r="3" spans="1:12" x14ac:dyDescent="0.3">
      <c r="A3" t="s">
        <v>15</v>
      </c>
      <c r="B3" t="s">
        <v>16</v>
      </c>
      <c r="C3" t="s">
        <v>17</v>
      </c>
      <c r="D3">
        <v>38</v>
      </c>
      <c r="E3">
        <v>27</v>
      </c>
      <c r="F3">
        <v>23</v>
      </c>
      <c r="G3">
        <v>96</v>
      </c>
      <c r="H3">
        <v>79</v>
      </c>
      <c r="I3">
        <f t="shared" si="0"/>
        <v>263</v>
      </c>
      <c r="J3">
        <v>500</v>
      </c>
      <c r="K3" s="2">
        <f t="shared" si="1"/>
        <v>0.52600000000000002</v>
      </c>
      <c r="L3" s="2">
        <f t="shared" si="2"/>
        <v>0.47399999999999998</v>
      </c>
    </row>
    <row r="4" spans="1:12" x14ac:dyDescent="0.3">
      <c r="A4" t="s">
        <v>18</v>
      </c>
      <c r="B4" t="s">
        <v>19</v>
      </c>
      <c r="C4" t="s">
        <v>20</v>
      </c>
      <c r="D4">
        <v>21</v>
      </c>
      <c r="E4">
        <v>85</v>
      </c>
      <c r="F4">
        <v>64</v>
      </c>
      <c r="G4">
        <v>14</v>
      </c>
      <c r="H4">
        <v>13</v>
      </c>
      <c r="I4">
        <f t="shared" si="0"/>
        <v>197</v>
      </c>
      <c r="J4">
        <v>500</v>
      </c>
      <c r="K4" s="2">
        <f t="shared" si="1"/>
        <v>0.39400000000000002</v>
      </c>
      <c r="L4" s="2">
        <f t="shared" si="2"/>
        <v>0.60599999999999998</v>
      </c>
    </row>
    <row r="5" spans="1:12" x14ac:dyDescent="0.3">
      <c r="A5" t="s">
        <v>21</v>
      </c>
      <c r="B5" t="s">
        <v>22</v>
      </c>
      <c r="C5" t="s">
        <v>23</v>
      </c>
      <c r="D5">
        <v>21</v>
      </c>
      <c r="E5">
        <v>37</v>
      </c>
      <c r="F5">
        <v>39</v>
      </c>
      <c r="G5">
        <v>74</v>
      </c>
      <c r="H5">
        <v>87</v>
      </c>
      <c r="I5">
        <f t="shared" si="0"/>
        <v>258</v>
      </c>
      <c r="J5">
        <v>500</v>
      </c>
      <c r="K5" s="2">
        <f t="shared" si="1"/>
        <v>0.51600000000000001</v>
      </c>
      <c r="L5" s="2">
        <f t="shared" si="2"/>
        <v>0.48399999999999999</v>
      </c>
    </row>
    <row r="6" spans="1:12" x14ac:dyDescent="0.3">
      <c r="A6" t="s">
        <v>24</v>
      </c>
      <c r="B6" t="s">
        <v>25</v>
      </c>
      <c r="C6" t="s">
        <v>26</v>
      </c>
      <c r="D6">
        <v>13</v>
      </c>
      <c r="E6">
        <v>81</v>
      </c>
      <c r="F6">
        <v>35</v>
      </c>
      <c r="G6">
        <v>93</v>
      </c>
      <c r="H6">
        <v>99</v>
      </c>
      <c r="I6">
        <f t="shared" si="0"/>
        <v>321</v>
      </c>
      <c r="J6">
        <v>500</v>
      </c>
      <c r="K6" s="2">
        <f t="shared" si="1"/>
        <v>0.64200000000000002</v>
      </c>
      <c r="L6" s="2">
        <f t="shared" si="2"/>
        <v>0.35799999999999998</v>
      </c>
    </row>
    <row r="7" spans="1:12" x14ac:dyDescent="0.3">
      <c r="A7" t="s">
        <v>27</v>
      </c>
      <c r="B7" t="s">
        <v>28</v>
      </c>
      <c r="C7" t="s">
        <v>29</v>
      </c>
      <c r="D7">
        <v>79</v>
      </c>
      <c r="E7">
        <v>63</v>
      </c>
      <c r="F7">
        <v>38</v>
      </c>
      <c r="G7">
        <v>67</v>
      </c>
      <c r="H7">
        <v>85</v>
      </c>
      <c r="I7">
        <f t="shared" si="0"/>
        <v>332</v>
      </c>
      <c r="J7">
        <v>500</v>
      </c>
      <c r="K7" s="2">
        <f t="shared" si="1"/>
        <v>0.66400000000000003</v>
      </c>
      <c r="L7" s="2">
        <f t="shared" si="2"/>
        <v>0.33599999999999997</v>
      </c>
    </row>
    <row r="8" spans="1:12" x14ac:dyDescent="0.3">
      <c r="A8" t="s">
        <v>30</v>
      </c>
      <c r="B8" t="s">
        <v>31</v>
      </c>
      <c r="C8" t="s">
        <v>32</v>
      </c>
      <c r="D8">
        <v>45</v>
      </c>
      <c r="E8">
        <v>10</v>
      </c>
      <c r="F8">
        <v>30</v>
      </c>
      <c r="G8">
        <v>99</v>
      </c>
      <c r="H8">
        <v>64</v>
      </c>
      <c r="I8">
        <f t="shared" si="0"/>
        <v>248</v>
      </c>
      <c r="J8">
        <v>500</v>
      </c>
      <c r="K8" s="2">
        <f t="shared" si="1"/>
        <v>0.496</v>
      </c>
      <c r="L8" s="2">
        <f t="shared" si="2"/>
        <v>0.504</v>
      </c>
    </row>
    <row r="9" spans="1:12" x14ac:dyDescent="0.3">
      <c r="A9" t="s">
        <v>33</v>
      </c>
      <c r="B9" t="s">
        <v>34</v>
      </c>
      <c r="C9" t="s">
        <v>35</v>
      </c>
      <c r="D9">
        <v>53</v>
      </c>
      <c r="E9">
        <v>45</v>
      </c>
      <c r="F9">
        <v>29</v>
      </c>
      <c r="G9">
        <v>37</v>
      </c>
      <c r="H9">
        <v>53</v>
      </c>
      <c r="I9">
        <f t="shared" si="0"/>
        <v>217</v>
      </c>
      <c r="J9">
        <v>500</v>
      </c>
      <c r="K9" s="2">
        <f t="shared" si="1"/>
        <v>0.434</v>
      </c>
      <c r="L9" s="2">
        <f t="shared" si="2"/>
        <v>0.56600000000000006</v>
      </c>
    </row>
    <row r="10" spans="1:12" x14ac:dyDescent="0.3">
      <c r="A10" t="s">
        <v>36</v>
      </c>
      <c r="B10" t="s">
        <v>37</v>
      </c>
      <c r="C10" t="s">
        <v>14</v>
      </c>
      <c r="D10">
        <v>23</v>
      </c>
      <c r="E10">
        <v>21</v>
      </c>
      <c r="F10">
        <v>58</v>
      </c>
      <c r="G10">
        <v>22</v>
      </c>
      <c r="H10">
        <v>55</v>
      </c>
      <c r="I10">
        <f t="shared" si="0"/>
        <v>179</v>
      </c>
      <c r="J10">
        <v>500</v>
      </c>
      <c r="K10" s="2">
        <f t="shared" si="1"/>
        <v>0.35799999999999998</v>
      </c>
      <c r="L10" s="2">
        <f t="shared" si="2"/>
        <v>0.64200000000000002</v>
      </c>
    </row>
    <row r="11" spans="1:12" x14ac:dyDescent="0.3">
      <c r="A11" t="s">
        <v>38</v>
      </c>
      <c r="B11" t="s">
        <v>39</v>
      </c>
      <c r="C11" t="s">
        <v>17</v>
      </c>
      <c r="D11">
        <v>54</v>
      </c>
      <c r="E11">
        <v>87</v>
      </c>
      <c r="F11">
        <v>43</v>
      </c>
      <c r="G11">
        <v>15</v>
      </c>
      <c r="H11">
        <v>68</v>
      </c>
      <c r="I11">
        <f t="shared" si="0"/>
        <v>267</v>
      </c>
      <c r="J11">
        <v>500</v>
      </c>
      <c r="K11" s="2">
        <f t="shared" si="1"/>
        <v>0.53400000000000003</v>
      </c>
      <c r="L11" s="2">
        <f t="shared" si="2"/>
        <v>0.46599999999999997</v>
      </c>
    </row>
    <row r="12" spans="1:12" x14ac:dyDescent="0.3">
      <c r="A12" t="s">
        <v>40</v>
      </c>
      <c r="B12" t="s">
        <v>41</v>
      </c>
      <c r="C12" t="s">
        <v>20</v>
      </c>
      <c r="D12">
        <v>78</v>
      </c>
      <c r="E12">
        <v>25</v>
      </c>
      <c r="F12">
        <v>58</v>
      </c>
      <c r="G12">
        <v>20</v>
      </c>
      <c r="H12">
        <v>80</v>
      </c>
      <c r="I12">
        <f t="shared" si="0"/>
        <v>261</v>
      </c>
      <c r="J12">
        <v>500</v>
      </c>
      <c r="K12" s="2">
        <f t="shared" si="1"/>
        <v>0.52200000000000002</v>
      </c>
      <c r="L12" s="2">
        <f t="shared" si="2"/>
        <v>0.47799999999999998</v>
      </c>
    </row>
    <row r="13" spans="1:12" x14ac:dyDescent="0.3">
      <c r="A13" t="s">
        <v>42</v>
      </c>
      <c r="B13" t="s">
        <v>43</v>
      </c>
      <c r="C13" t="s">
        <v>23</v>
      </c>
      <c r="D13">
        <v>47</v>
      </c>
      <c r="E13">
        <v>90</v>
      </c>
      <c r="F13">
        <v>89</v>
      </c>
      <c r="G13">
        <v>56</v>
      </c>
      <c r="H13">
        <v>83</v>
      </c>
      <c r="I13">
        <f t="shared" si="0"/>
        <v>365</v>
      </c>
      <c r="J13">
        <v>500</v>
      </c>
      <c r="K13" s="2">
        <f t="shared" si="1"/>
        <v>0.73</v>
      </c>
      <c r="L13" s="2">
        <f t="shared" si="2"/>
        <v>0.27</v>
      </c>
    </row>
    <row r="14" spans="1:12" x14ac:dyDescent="0.3">
      <c r="A14" t="s">
        <v>44</v>
      </c>
      <c r="B14" t="s">
        <v>45</v>
      </c>
      <c r="C14" t="s">
        <v>26</v>
      </c>
      <c r="D14">
        <v>34</v>
      </c>
      <c r="E14">
        <v>100</v>
      </c>
      <c r="F14">
        <v>18</v>
      </c>
      <c r="G14">
        <v>15</v>
      </c>
      <c r="H14">
        <v>94</v>
      </c>
      <c r="I14">
        <f t="shared" si="0"/>
        <v>261</v>
      </c>
      <c r="J14">
        <v>500</v>
      </c>
      <c r="K14" s="2">
        <f t="shared" si="1"/>
        <v>0.52200000000000002</v>
      </c>
      <c r="L14" s="2">
        <f t="shared" si="2"/>
        <v>0.47799999999999998</v>
      </c>
    </row>
    <row r="15" spans="1:12" x14ac:dyDescent="0.3">
      <c r="A15" t="s">
        <v>46</v>
      </c>
      <c r="B15" t="s">
        <v>47</v>
      </c>
      <c r="C15" t="s">
        <v>29</v>
      </c>
      <c r="D15">
        <v>39</v>
      </c>
      <c r="E15">
        <v>47</v>
      </c>
      <c r="F15">
        <v>20</v>
      </c>
      <c r="G15">
        <v>39</v>
      </c>
      <c r="H15">
        <v>22</v>
      </c>
      <c r="I15">
        <f t="shared" si="0"/>
        <v>167</v>
      </c>
      <c r="J15">
        <v>500</v>
      </c>
      <c r="K15" s="2">
        <f t="shared" si="1"/>
        <v>0.33400000000000002</v>
      </c>
      <c r="L15" s="2">
        <f t="shared" si="2"/>
        <v>0.66599999999999993</v>
      </c>
    </row>
    <row r="16" spans="1:12" x14ac:dyDescent="0.3">
      <c r="A16" t="s">
        <v>48</v>
      </c>
      <c r="B16" t="s">
        <v>49</v>
      </c>
      <c r="C16" t="s">
        <v>32</v>
      </c>
      <c r="D16">
        <v>58</v>
      </c>
      <c r="E16">
        <v>45</v>
      </c>
      <c r="F16">
        <v>68</v>
      </c>
      <c r="G16">
        <v>91</v>
      </c>
      <c r="H16">
        <v>56</v>
      </c>
      <c r="I16">
        <f t="shared" si="0"/>
        <v>318</v>
      </c>
      <c r="J16">
        <v>500</v>
      </c>
      <c r="K16" s="2">
        <f t="shared" si="1"/>
        <v>0.63600000000000001</v>
      </c>
      <c r="L16" s="2">
        <f t="shared" si="2"/>
        <v>0.36399999999999999</v>
      </c>
    </row>
    <row r="17" spans="1:12" x14ac:dyDescent="0.3">
      <c r="A17" t="s">
        <v>50</v>
      </c>
      <c r="B17" t="s">
        <v>51</v>
      </c>
      <c r="C17" t="s">
        <v>35</v>
      </c>
      <c r="D17">
        <v>30</v>
      </c>
      <c r="E17">
        <v>57</v>
      </c>
      <c r="F17">
        <v>55</v>
      </c>
      <c r="G17">
        <v>36</v>
      </c>
      <c r="H17">
        <v>95</v>
      </c>
      <c r="I17">
        <f t="shared" si="0"/>
        <v>273</v>
      </c>
      <c r="J17">
        <v>500</v>
      </c>
      <c r="K17" s="2">
        <f t="shared" si="1"/>
        <v>0.54600000000000004</v>
      </c>
      <c r="L17" s="2">
        <f t="shared" si="2"/>
        <v>0.45399999999999996</v>
      </c>
    </row>
    <row r="18" spans="1:12" x14ac:dyDescent="0.3">
      <c r="A18" t="s">
        <v>52</v>
      </c>
      <c r="B18" t="s">
        <v>53</v>
      </c>
      <c r="C18" t="s">
        <v>14</v>
      </c>
      <c r="D18">
        <v>44</v>
      </c>
      <c r="E18">
        <v>99</v>
      </c>
      <c r="F18">
        <v>97</v>
      </c>
      <c r="G18">
        <v>92</v>
      </c>
      <c r="H18">
        <v>19</v>
      </c>
      <c r="I18">
        <f t="shared" si="0"/>
        <v>351</v>
      </c>
      <c r="J18">
        <v>500</v>
      </c>
      <c r="K18" s="2">
        <f t="shared" si="1"/>
        <v>0.70199999999999996</v>
      </c>
      <c r="L18" s="2">
        <f t="shared" si="2"/>
        <v>0.29800000000000004</v>
      </c>
    </row>
    <row r="19" spans="1:12" x14ac:dyDescent="0.3">
      <c r="A19" t="s">
        <v>54</v>
      </c>
      <c r="B19" t="s">
        <v>55</v>
      </c>
      <c r="C19" t="s">
        <v>17</v>
      </c>
      <c r="D19">
        <v>87</v>
      </c>
      <c r="E19">
        <v>91</v>
      </c>
      <c r="F19">
        <v>31</v>
      </c>
      <c r="G19">
        <v>78</v>
      </c>
      <c r="H19">
        <v>41</v>
      </c>
      <c r="I19">
        <f t="shared" si="0"/>
        <v>328</v>
      </c>
      <c r="J19">
        <v>500</v>
      </c>
      <c r="K19" s="2">
        <f t="shared" si="1"/>
        <v>0.65600000000000003</v>
      </c>
      <c r="L19" s="2">
        <f t="shared" si="2"/>
        <v>0.34399999999999997</v>
      </c>
    </row>
    <row r="20" spans="1:12" x14ac:dyDescent="0.3">
      <c r="A20" t="s">
        <v>56</v>
      </c>
      <c r="B20" t="s">
        <v>57</v>
      </c>
      <c r="C20" t="s">
        <v>20</v>
      </c>
      <c r="D20">
        <v>30</v>
      </c>
      <c r="E20">
        <v>69</v>
      </c>
      <c r="F20">
        <v>58</v>
      </c>
      <c r="G20">
        <v>44</v>
      </c>
      <c r="H20">
        <v>91</v>
      </c>
      <c r="I20">
        <f t="shared" si="0"/>
        <v>292</v>
      </c>
      <c r="J20">
        <v>500</v>
      </c>
      <c r="K20" s="2">
        <f t="shared" si="1"/>
        <v>0.58399999999999996</v>
      </c>
      <c r="L20" s="2">
        <f t="shared" si="2"/>
        <v>0.41600000000000004</v>
      </c>
    </row>
    <row r="21" spans="1:12" x14ac:dyDescent="0.3">
      <c r="A21" t="s">
        <v>58</v>
      </c>
      <c r="B21" t="s">
        <v>59</v>
      </c>
      <c r="C21" t="s">
        <v>23</v>
      </c>
      <c r="D21">
        <v>98</v>
      </c>
      <c r="E21">
        <v>81</v>
      </c>
      <c r="F21">
        <v>38</v>
      </c>
      <c r="G21">
        <v>97</v>
      </c>
      <c r="H21">
        <v>51</v>
      </c>
      <c r="I21">
        <f t="shared" si="0"/>
        <v>365</v>
      </c>
      <c r="J21">
        <v>500</v>
      </c>
      <c r="K21" s="2">
        <f t="shared" si="1"/>
        <v>0.73</v>
      </c>
      <c r="L21" s="2">
        <f t="shared" si="2"/>
        <v>0.27</v>
      </c>
    </row>
    <row r="22" spans="1:12" x14ac:dyDescent="0.3">
      <c r="A22" t="s">
        <v>60</v>
      </c>
      <c r="B22" t="s">
        <v>61</v>
      </c>
      <c r="C22" t="s">
        <v>26</v>
      </c>
      <c r="D22">
        <v>17</v>
      </c>
      <c r="E22">
        <v>39</v>
      </c>
      <c r="F22">
        <v>14</v>
      </c>
      <c r="G22">
        <v>50</v>
      </c>
      <c r="H22">
        <v>61</v>
      </c>
      <c r="I22">
        <f t="shared" si="0"/>
        <v>181</v>
      </c>
      <c r="J22">
        <v>500</v>
      </c>
      <c r="K22" s="2">
        <f t="shared" si="1"/>
        <v>0.36199999999999999</v>
      </c>
      <c r="L22" s="2">
        <f t="shared" si="2"/>
        <v>0.63800000000000001</v>
      </c>
    </row>
    <row r="23" spans="1:12" x14ac:dyDescent="0.3">
      <c r="A23" t="s">
        <v>62</v>
      </c>
      <c r="B23" t="s">
        <v>63</v>
      </c>
      <c r="C23" t="s">
        <v>29</v>
      </c>
      <c r="D23">
        <v>44</v>
      </c>
      <c r="E23">
        <v>18</v>
      </c>
      <c r="F23">
        <v>37</v>
      </c>
      <c r="G23">
        <v>82</v>
      </c>
      <c r="H23">
        <v>50</v>
      </c>
      <c r="I23">
        <f t="shared" si="0"/>
        <v>231</v>
      </c>
      <c r="J23">
        <v>500</v>
      </c>
      <c r="K23" s="2">
        <f t="shared" si="1"/>
        <v>0.46200000000000002</v>
      </c>
      <c r="L23" s="2">
        <f t="shared" si="2"/>
        <v>0.53800000000000003</v>
      </c>
    </row>
    <row r="24" spans="1:12" x14ac:dyDescent="0.3">
      <c r="A24" t="s">
        <v>64</v>
      </c>
      <c r="B24" t="s">
        <v>65</v>
      </c>
      <c r="C24" t="s">
        <v>32</v>
      </c>
      <c r="D24">
        <v>37</v>
      </c>
      <c r="E24">
        <v>93</v>
      </c>
      <c r="F24">
        <v>73</v>
      </c>
      <c r="G24">
        <v>60</v>
      </c>
      <c r="H24">
        <v>92</v>
      </c>
      <c r="I24">
        <f t="shared" si="0"/>
        <v>355</v>
      </c>
      <c r="J24">
        <v>500</v>
      </c>
      <c r="K24" s="2">
        <f t="shared" si="1"/>
        <v>0.71</v>
      </c>
      <c r="L24" s="2">
        <f t="shared" si="2"/>
        <v>0.29000000000000004</v>
      </c>
    </row>
    <row r="25" spans="1:12" x14ac:dyDescent="0.3">
      <c r="A25" t="s">
        <v>66</v>
      </c>
      <c r="B25" t="s">
        <v>67</v>
      </c>
      <c r="C25" t="s">
        <v>35</v>
      </c>
      <c r="D25">
        <v>68</v>
      </c>
      <c r="E25">
        <v>28</v>
      </c>
      <c r="F25">
        <v>43</v>
      </c>
      <c r="G25">
        <v>27</v>
      </c>
      <c r="H25">
        <v>41</v>
      </c>
      <c r="I25">
        <f t="shared" si="0"/>
        <v>207</v>
      </c>
      <c r="J25">
        <v>500</v>
      </c>
      <c r="K25" s="2">
        <f t="shared" si="1"/>
        <v>0.41399999999999998</v>
      </c>
      <c r="L25" s="2">
        <f t="shared" si="2"/>
        <v>0.58600000000000008</v>
      </c>
    </row>
    <row r="26" spans="1:12" x14ac:dyDescent="0.3">
      <c r="A26" t="s">
        <v>68</v>
      </c>
      <c r="B26" t="s">
        <v>69</v>
      </c>
      <c r="C26" t="s">
        <v>14</v>
      </c>
      <c r="D26">
        <v>81</v>
      </c>
      <c r="E26">
        <v>78</v>
      </c>
      <c r="F26">
        <v>43</v>
      </c>
      <c r="G26">
        <v>84</v>
      </c>
      <c r="H26">
        <v>64</v>
      </c>
      <c r="I26">
        <f t="shared" si="0"/>
        <v>350</v>
      </c>
      <c r="J26">
        <v>500</v>
      </c>
      <c r="K26" s="2">
        <f t="shared" si="1"/>
        <v>0.7</v>
      </c>
      <c r="L26" s="2">
        <f t="shared" si="2"/>
        <v>0.30000000000000004</v>
      </c>
    </row>
    <row r="27" spans="1:12" x14ac:dyDescent="0.3">
      <c r="A27" t="s">
        <v>70</v>
      </c>
      <c r="B27" t="s">
        <v>71</v>
      </c>
      <c r="C27" t="s">
        <v>17</v>
      </c>
      <c r="D27">
        <v>84</v>
      </c>
      <c r="E27">
        <v>61</v>
      </c>
      <c r="F27">
        <v>56</v>
      </c>
      <c r="G27">
        <v>38</v>
      </c>
      <c r="H27">
        <v>27</v>
      </c>
      <c r="I27">
        <f t="shared" si="0"/>
        <v>266</v>
      </c>
      <c r="J27">
        <v>500</v>
      </c>
      <c r="K27" s="2">
        <f t="shared" si="1"/>
        <v>0.53200000000000003</v>
      </c>
      <c r="L27" s="2">
        <f t="shared" si="2"/>
        <v>0.46799999999999997</v>
      </c>
    </row>
    <row r="28" spans="1:12" x14ac:dyDescent="0.3">
      <c r="A28" t="s">
        <v>72</v>
      </c>
      <c r="B28" t="s">
        <v>73</v>
      </c>
      <c r="C28" t="s">
        <v>20</v>
      </c>
      <c r="D28">
        <v>75</v>
      </c>
      <c r="E28">
        <v>73</v>
      </c>
      <c r="F28">
        <v>21</v>
      </c>
      <c r="G28">
        <v>16</v>
      </c>
      <c r="H28">
        <v>24</v>
      </c>
      <c r="I28">
        <f t="shared" si="0"/>
        <v>209</v>
      </c>
      <c r="J28">
        <v>500</v>
      </c>
      <c r="K28" s="2">
        <f t="shared" si="1"/>
        <v>0.41799999999999998</v>
      </c>
      <c r="L28" s="2">
        <f t="shared" si="2"/>
        <v>0.58200000000000007</v>
      </c>
    </row>
    <row r="29" spans="1:12" x14ac:dyDescent="0.3">
      <c r="A29" t="s">
        <v>74</v>
      </c>
      <c r="B29" t="s">
        <v>75</v>
      </c>
      <c r="C29" t="s">
        <v>23</v>
      </c>
      <c r="D29">
        <v>29</v>
      </c>
      <c r="E29">
        <v>90</v>
      </c>
      <c r="F29">
        <v>30</v>
      </c>
      <c r="G29">
        <v>97</v>
      </c>
      <c r="H29">
        <v>64</v>
      </c>
      <c r="I29">
        <f t="shared" si="0"/>
        <v>310</v>
      </c>
      <c r="J29">
        <v>500</v>
      </c>
      <c r="K29" s="2">
        <f t="shared" si="1"/>
        <v>0.62</v>
      </c>
      <c r="L29" s="2">
        <f t="shared" si="2"/>
        <v>0.38</v>
      </c>
    </row>
    <row r="30" spans="1:12" x14ac:dyDescent="0.3">
      <c r="A30" t="s">
        <v>76</v>
      </c>
      <c r="B30" t="s">
        <v>77</v>
      </c>
      <c r="C30" t="s">
        <v>26</v>
      </c>
      <c r="D30">
        <v>86</v>
      </c>
      <c r="E30">
        <v>18</v>
      </c>
      <c r="F30">
        <v>59</v>
      </c>
      <c r="G30">
        <v>58</v>
      </c>
      <c r="H30">
        <v>86</v>
      </c>
      <c r="I30">
        <f t="shared" si="0"/>
        <v>307</v>
      </c>
      <c r="J30">
        <v>500</v>
      </c>
      <c r="K30" s="2">
        <f t="shared" si="1"/>
        <v>0.61399999999999999</v>
      </c>
      <c r="L30" s="2">
        <f t="shared" si="2"/>
        <v>0.38600000000000001</v>
      </c>
    </row>
    <row r="31" spans="1:12" x14ac:dyDescent="0.3">
      <c r="A31" t="s">
        <v>78</v>
      </c>
      <c r="B31" t="s">
        <v>79</v>
      </c>
      <c r="C31" t="s">
        <v>29</v>
      </c>
      <c r="D31">
        <v>69</v>
      </c>
      <c r="E31">
        <v>77</v>
      </c>
      <c r="F31">
        <v>42</v>
      </c>
      <c r="G31">
        <v>80</v>
      </c>
      <c r="H31">
        <v>11</v>
      </c>
      <c r="I31">
        <f t="shared" si="0"/>
        <v>279</v>
      </c>
      <c r="J31">
        <v>500</v>
      </c>
      <c r="K31" s="2">
        <f t="shared" si="1"/>
        <v>0.55800000000000005</v>
      </c>
      <c r="L31" s="2">
        <f t="shared" si="2"/>
        <v>0.44199999999999995</v>
      </c>
    </row>
    <row r="32" spans="1:12" x14ac:dyDescent="0.3">
      <c r="A32" t="s">
        <v>80</v>
      </c>
      <c r="B32" t="s">
        <v>81</v>
      </c>
      <c r="C32" t="s">
        <v>32</v>
      </c>
      <c r="D32">
        <v>97</v>
      </c>
      <c r="E32">
        <v>24</v>
      </c>
      <c r="F32">
        <v>97</v>
      </c>
      <c r="G32">
        <v>78</v>
      </c>
      <c r="H32">
        <v>44</v>
      </c>
      <c r="I32">
        <f t="shared" si="0"/>
        <v>340</v>
      </c>
      <c r="J32">
        <v>500</v>
      </c>
      <c r="K32" s="2">
        <f t="shared" si="1"/>
        <v>0.68</v>
      </c>
      <c r="L32" s="2">
        <f t="shared" si="2"/>
        <v>0.31999999999999995</v>
      </c>
    </row>
    <row r="33" spans="1:12" x14ac:dyDescent="0.3">
      <c r="A33" t="s">
        <v>82</v>
      </c>
      <c r="B33" t="s">
        <v>83</v>
      </c>
      <c r="C33" t="s">
        <v>35</v>
      </c>
      <c r="D33">
        <v>92</v>
      </c>
      <c r="E33">
        <v>53</v>
      </c>
      <c r="F33">
        <v>24</v>
      </c>
      <c r="G33">
        <v>47</v>
      </c>
      <c r="H33">
        <v>65</v>
      </c>
      <c r="I33">
        <f t="shared" si="0"/>
        <v>281</v>
      </c>
      <c r="J33">
        <v>500</v>
      </c>
      <c r="K33" s="2">
        <f t="shared" si="1"/>
        <v>0.56200000000000006</v>
      </c>
      <c r="L33" s="2">
        <f t="shared" si="2"/>
        <v>0.43799999999999994</v>
      </c>
    </row>
    <row r="34" spans="1:12" x14ac:dyDescent="0.3">
      <c r="A34" t="s">
        <v>84</v>
      </c>
      <c r="B34" t="s">
        <v>85</v>
      </c>
      <c r="C34" t="s">
        <v>14</v>
      </c>
      <c r="D34">
        <v>30</v>
      </c>
      <c r="E34">
        <v>68</v>
      </c>
      <c r="F34">
        <v>10</v>
      </c>
      <c r="G34">
        <v>43</v>
      </c>
      <c r="H34">
        <v>74</v>
      </c>
      <c r="I34">
        <f t="shared" ref="I34:I65" si="3">SUM(D34:H34)</f>
        <v>225</v>
      </c>
      <c r="J34">
        <v>500</v>
      </c>
      <c r="K34" s="2">
        <f t="shared" ref="K34:K65" si="4">I34/J34</f>
        <v>0.45</v>
      </c>
      <c r="L34" s="2">
        <f t="shared" ref="L34:L65" si="5">1-K34</f>
        <v>0.55000000000000004</v>
      </c>
    </row>
    <row r="35" spans="1:12" x14ac:dyDescent="0.3">
      <c r="A35" t="s">
        <v>86</v>
      </c>
      <c r="B35" t="s">
        <v>87</v>
      </c>
      <c r="C35" t="s">
        <v>17</v>
      </c>
      <c r="D35">
        <v>32</v>
      </c>
      <c r="E35">
        <v>74</v>
      </c>
      <c r="F35">
        <v>23</v>
      </c>
      <c r="G35">
        <v>90</v>
      </c>
      <c r="H35">
        <v>48</v>
      </c>
      <c r="I35">
        <f t="shared" si="3"/>
        <v>267</v>
      </c>
      <c r="J35">
        <v>500</v>
      </c>
      <c r="K35" s="2">
        <f t="shared" si="4"/>
        <v>0.53400000000000003</v>
      </c>
      <c r="L35" s="2">
        <f t="shared" si="5"/>
        <v>0.46599999999999997</v>
      </c>
    </row>
    <row r="36" spans="1:12" x14ac:dyDescent="0.3">
      <c r="A36" t="s">
        <v>88</v>
      </c>
      <c r="B36" t="s">
        <v>89</v>
      </c>
      <c r="C36" t="s">
        <v>20</v>
      </c>
      <c r="D36">
        <v>91</v>
      </c>
      <c r="E36">
        <v>74</v>
      </c>
      <c r="F36">
        <v>87</v>
      </c>
      <c r="G36">
        <v>35</v>
      </c>
      <c r="H36">
        <v>29</v>
      </c>
      <c r="I36">
        <f t="shared" si="3"/>
        <v>316</v>
      </c>
      <c r="J36">
        <v>500</v>
      </c>
      <c r="K36" s="2">
        <f t="shared" si="4"/>
        <v>0.63200000000000001</v>
      </c>
      <c r="L36" s="2">
        <f t="shared" si="5"/>
        <v>0.36799999999999999</v>
      </c>
    </row>
    <row r="37" spans="1:12" x14ac:dyDescent="0.3">
      <c r="A37" t="s">
        <v>90</v>
      </c>
      <c r="B37" t="s">
        <v>91</v>
      </c>
      <c r="C37" t="s">
        <v>23</v>
      </c>
      <c r="D37">
        <v>57</v>
      </c>
      <c r="E37">
        <v>30</v>
      </c>
      <c r="F37">
        <v>79</v>
      </c>
      <c r="G37">
        <v>77</v>
      </c>
      <c r="H37">
        <v>10</v>
      </c>
      <c r="I37">
        <f t="shared" si="3"/>
        <v>253</v>
      </c>
      <c r="J37">
        <v>500</v>
      </c>
      <c r="K37" s="2">
        <f t="shared" si="4"/>
        <v>0.50600000000000001</v>
      </c>
      <c r="L37" s="2">
        <f t="shared" si="5"/>
        <v>0.49399999999999999</v>
      </c>
    </row>
    <row r="38" spans="1:12" x14ac:dyDescent="0.3">
      <c r="A38" t="s">
        <v>92</v>
      </c>
      <c r="B38" t="s">
        <v>93</v>
      </c>
      <c r="C38" t="s">
        <v>26</v>
      </c>
      <c r="D38">
        <v>86</v>
      </c>
      <c r="E38">
        <v>51</v>
      </c>
      <c r="F38">
        <v>72</v>
      </c>
      <c r="G38">
        <v>12</v>
      </c>
      <c r="H38">
        <v>24</v>
      </c>
      <c r="I38">
        <f t="shared" si="3"/>
        <v>245</v>
      </c>
      <c r="J38">
        <v>500</v>
      </c>
      <c r="K38" s="2">
        <f t="shared" si="4"/>
        <v>0.49</v>
      </c>
      <c r="L38" s="2">
        <f t="shared" si="5"/>
        <v>0.51</v>
      </c>
    </row>
    <row r="39" spans="1:12" x14ac:dyDescent="0.3">
      <c r="A39" t="s">
        <v>94</v>
      </c>
      <c r="B39" t="s">
        <v>95</v>
      </c>
      <c r="C39" t="s">
        <v>29</v>
      </c>
      <c r="D39">
        <v>56</v>
      </c>
      <c r="E39">
        <v>49</v>
      </c>
      <c r="F39">
        <v>40</v>
      </c>
      <c r="G39">
        <v>17</v>
      </c>
      <c r="H39">
        <v>40</v>
      </c>
      <c r="I39">
        <f t="shared" si="3"/>
        <v>202</v>
      </c>
      <c r="J39">
        <v>500</v>
      </c>
      <c r="K39" s="2">
        <f t="shared" si="4"/>
        <v>0.40400000000000003</v>
      </c>
      <c r="L39" s="2">
        <f t="shared" si="5"/>
        <v>0.59599999999999997</v>
      </c>
    </row>
    <row r="40" spans="1:12" x14ac:dyDescent="0.3">
      <c r="A40" t="s">
        <v>96</v>
      </c>
      <c r="B40" t="s">
        <v>97</v>
      </c>
      <c r="C40" t="s">
        <v>32</v>
      </c>
      <c r="D40">
        <v>82</v>
      </c>
      <c r="E40">
        <v>20</v>
      </c>
      <c r="F40">
        <v>20</v>
      </c>
      <c r="G40">
        <v>72</v>
      </c>
      <c r="H40">
        <v>18</v>
      </c>
      <c r="I40">
        <f t="shared" si="3"/>
        <v>212</v>
      </c>
      <c r="J40">
        <v>500</v>
      </c>
      <c r="K40" s="2">
        <f t="shared" si="4"/>
        <v>0.42399999999999999</v>
      </c>
      <c r="L40" s="2">
        <f t="shared" si="5"/>
        <v>0.57600000000000007</v>
      </c>
    </row>
    <row r="41" spans="1:12" x14ac:dyDescent="0.3">
      <c r="A41" t="s">
        <v>98</v>
      </c>
      <c r="B41" t="s">
        <v>99</v>
      </c>
      <c r="C41" t="s">
        <v>35</v>
      </c>
      <c r="D41">
        <v>78</v>
      </c>
      <c r="E41">
        <v>26</v>
      </c>
      <c r="F41">
        <v>26</v>
      </c>
      <c r="G41">
        <v>94</v>
      </c>
      <c r="H41">
        <v>70</v>
      </c>
      <c r="I41">
        <f t="shared" si="3"/>
        <v>294</v>
      </c>
      <c r="J41">
        <v>500</v>
      </c>
      <c r="K41" s="2">
        <f t="shared" si="4"/>
        <v>0.58799999999999997</v>
      </c>
      <c r="L41" s="2">
        <f t="shared" si="5"/>
        <v>0.41200000000000003</v>
      </c>
    </row>
    <row r="42" spans="1:12" x14ac:dyDescent="0.3">
      <c r="A42" t="s">
        <v>100</v>
      </c>
      <c r="B42" t="s">
        <v>101</v>
      </c>
      <c r="C42" t="s">
        <v>14</v>
      </c>
      <c r="D42">
        <v>80</v>
      </c>
      <c r="E42">
        <v>31</v>
      </c>
      <c r="F42">
        <v>43</v>
      </c>
      <c r="G42">
        <v>77</v>
      </c>
      <c r="H42">
        <v>87</v>
      </c>
      <c r="I42">
        <f t="shared" si="3"/>
        <v>318</v>
      </c>
      <c r="J42">
        <v>500</v>
      </c>
      <c r="K42" s="2">
        <f t="shared" si="4"/>
        <v>0.63600000000000001</v>
      </c>
      <c r="L42" s="2">
        <f t="shared" si="5"/>
        <v>0.36399999999999999</v>
      </c>
    </row>
    <row r="43" spans="1:12" x14ac:dyDescent="0.3">
      <c r="A43" t="s">
        <v>102</v>
      </c>
      <c r="B43" t="s">
        <v>103</v>
      </c>
      <c r="C43" t="s">
        <v>17</v>
      </c>
      <c r="D43">
        <v>64</v>
      </c>
      <c r="E43">
        <v>37</v>
      </c>
      <c r="F43">
        <v>79</v>
      </c>
      <c r="G43">
        <v>98</v>
      </c>
      <c r="H43">
        <v>35</v>
      </c>
      <c r="I43">
        <f t="shared" si="3"/>
        <v>313</v>
      </c>
      <c r="J43">
        <v>500</v>
      </c>
      <c r="K43" s="2">
        <f t="shared" si="4"/>
        <v>0.626</v>
      </c>
      <c r="L43" s="2">
        <f t="shared" si="5"/>
        <v>0.374</v>
      </c>
    </row>
    <row r="44" spans="1:12" x14ac:dyDescent="0.3">
      <c r="A44" t="s">
        <v>104</v>
      </c>
      <c r="B44" t="s">
        <v>105</v>
      </c>
      <c r="C44" t="s">
        <v>20</v>
      </c>
      <c r="D44">
        <v>49</v>
      </c>
      <c r="E44">
        <v>61</v>
      </c>
      <c r="F44">
        <v>95</v>
      </c>
      <c r="G44">
        <v>93</v>
      </c>
      <c r="H44">
        <v>57</v>
      </c>
      <c r="I44">
        <f t="shared" si="3"/>
        <v>355</v>
      </c>
      <c r="J44">
        <v>500</v>
      </c>
      <c r="K44" s="2">
        <f t="shared" si="4"/>
        <v>0.71</v>
      </c>
      <c r="L44" s="2">
        <f t="shared" si="5"/>
        <v>0.29000000000000004</v>
      </c>
    </row>
    <row r="45" spans="1:12" x14ac:dyDescent="0.3">
      <c r="A45" t="s">
        <v>106</v>
      </c>
      <c r="B45" t="s">
        <v>107</v>
      </c>
      <c r="C45" t="s">
        <v>23</v>
      </c>
      <c r="D45">
        <v>66</v>
      </c>
      <c r="E45">
        <v>76</v>
      </c>
      <c r="F45">
        <v>67</v>
      </c>
      <c r="G45">
        <v>25</v>
      </c>
      <c r="H45">
        <v>41</v>
      </c>
      <c r="I45">
        <f t="shared" si="3"/>
        <v>275</v>
      </c>
      <c r="J45">
        <v>500</v>
      </c>
      <c r="K45" s="2">
        <f t="shared" si="4"/>
        <v>0.55000000000000004</v>
      </c>
      <c r="L45" s="2">
        <f t="shared" si="5"/>
        <v>0.44999999999999996</v>
      </c>
    </row>
    <row r="46" spans="1:12" x14ac:dyDescent="0.3">
      <c r="A46" t="s">
        <v>108</v>
      </c>
      <c r="B46" t="s">
        <v>109</v>
      </c>
      <c r="C46" t="s">
        <v>26</v>
      </c>
      <c r="D46">
        <v>38</v>
      </c>
      <c r="E46">
        <v>18</v>
      </c>
      <c r="F46">
        <v>53</v>
      </c>
      <c r="G46">
        <v>12</v>
      </c>
      <c r="H46">
        <v>85</v>
      </c>
      <c r="I46">
        <f t="shared" si="3"/>
        <v>206</v>
      </c>
      <c r="J46">
        <v>500</v>
      </c>
      <c r="K46" s="2">
        <f t="shared" si="4"/>
        <v>0.41199999999999998</v>
      </c>
      <c r="L46" s="2">
        <f t="shared" si="5"/>
        <v>0.58800000000000008</v>
      </c>
    </row>
    <row r="47" spans="1:12" x14ac:dyDescent="0.3">
      <c r="A47" t="s">
        <v>110</v>
      </c>
      <c r="B47" t="s">
        <v>111</v>
      </c>
      <c r="C47" t="s">
        <v>29</v>
      </c>
      <c r="D47">
        <v>80</v>
      </c>
      <c r="E47">
        <v>39</v>
      </c>
      <c r="F47">
        <v>85</v>
      </c>
      <c r="G47">
        <v>38</v>
      </c>
      <c r="H47">
        <v>10</v>
      </c>
      <c r="I47">
        <f t="shared" si="3"/>
        <v>252</v>
      </c>
      <c r="J47">
        <v>500</v>
      </c>
      <c r="K47" s="2">
        <f t="shared" si="4"/>
        <v>0.504</v>
      </c>
      <c r="L47" s="2">
        <f t="shared" si="5"/>
        <v>0.496</v>
      </c>
    </row>
    <row r="48" spans="1:12" x14ac:dyDescent="0.3">
      <c r="A48" t="s">
        <v>112</v>
      </c>
      <c r="B48" t="s">
        <v>113</v>
      </c>
      <c r="C48" t="s">
        <v>32</v>
      </c>
      <c r="D48">
        <v>19</v>
      </c>
      <c r="E48">
        <v>100</v>
      </c>
      <c r="F48">
        <v>90</v>
      </c>
      <c r="G48">
        <v>17</v>
      </c>
      <c r="H48">
        <v>39</v>
      </c>
      <c r="I48">
        <f t="shared" si="3"/>
        <v>265</v>
      </c>
      <c r="J48">
        <v>500</v>
      </c>
      <c r="K48" s="2">
        <f t="shared" si="4"/>
        <v>0.53</v>
      </c>
      <c r="L48" s="2">
        <f t="shared" si="5"/>
        <v>0.47</v>
      </c>
    </row>
    <row r="49" spans="1:12" x14ac:dyDescent="0.3">
      <c r="A49" t="s">
        <v>114</v>
      </c>
      <c r="B49" t="s">
        <v>115</v>
      </c>
      <c r="C49" t="s">
        <v>35</v>
      </c>
      <c r="D49">
        <v>18</v>
      </c>
      <c r="E49">
        <v>14</v>
      </c>
      <c r="F49">
        <v>52</v>
      </c>
      <c r="G49">
        <v>19</v>
      </c>
      <c r="H49">
        <v>75</v>
      </c>
      <c r="I49">
        <f t="shared" si="3"/>
        <v>178</v>
      </c>
      <c r="J49">
        <v>500</v>
      </c>
      <c r="K49" s="2">
        <f t="shared" si="4"/>
        <v>0.35599999999999998</v>
      </c>
      <c r="L49" s="2">
        <f t="shared" si="5"/>
        <v>0.64400000000000002</v>
      </c>
    </row>
    <row r="50" spans="1:12" x14ac:dyDescent="0.3">
      <c r="A50" t="s">
        <v>116</v>
      </c>
      <c r="B50" t="s">
        <v>117</v>
      </c>
      <c r="C50" t="s">
        <v>14</v>
      </c>
      <c r="D50">
        <v>40</v>
      </c>
      <c r="E50">
        <v>45</v>
      </c>
      <c r="F50">
        <v>95</v>
      </c>
      <c r="G50">
        <v>72</v>
      </c>
      <c r="H50">
        <v>37</v>
      </c>
      <c r="I50">
        <f t="shared" si="3"/>
        <v>289</v>
      </c>
      <c r="J50">
        <v>500</v>
      </c>
      <c r="K50" s="2">
        <f t="shared" si="4"/>
        <v>0.57799999999999996</v>
      </c>
      <c r="L50" s="2">
        <f t="shared" si="5"/>
        <v>0.42200000000000004</v>
      </c>
    </row>
    <row r="51" spans="1:12" x14ac:dyDescent="0.3">
      <c r="A51" t="s">
        <v>118</v>
      </c>
      <c r="B51" t="s">
        <v>119</v>
      </c>
      <c r="C51" t="s">
        <v>17</v>
      </c>
      <c r="D51">
        <v>79</v>
      </c>
      <c r="E51">
        <v>26</v>
      </c>
      <c r="F51">
        <v>83</v>
      </c>
      <c r="G51">
        <v>83</v>
      </c>
      <c r="H51">
        <v>70</v>
      </c>
      <c r="I51">
        <f t="shared" si="3"/>
        <v>341</v>
      </c>
      <c r="J51">
        <v>500</v>
      </c>
      <c r="K51" s="2">
        <f t="shared" si="4"/>
        <v>0.68200000000000005</v>
      </c>
      <c r="L51" s="2">
        <f t="shared" si="5"/>
        <v>0.31799999999999995</v>
      </c>
    </row>
    <row r="52" spans="1:12" x14ac:dyDescent="0.3">
      <c r="A52" t="s">
        <v>120</v>
      </c>
      <c r="B52" t="s">
        <v>13</v>
      </c>
      <c r="C52" t="s">
        <v>20</v>
      </c>
      <c r="D52">
        <v>41</v>
      </c>
      <c r="E52">
        <v>70</v>
      </c>
      <c r="F52">
        <v>62</v>
      </c>
      <c r="G52">
        <v>34</v>
      </c>
      <c r="H52">
        <v>22</v>
      </c>
      <c r="I52">
        <f t="shared" si="3"/>
        <v>229</v>
      </c>
      <c r="J52">
        <v>500</v>
      </c>
      <c r="K52" s="2">
        <f t="shared" si="4"/>
        <v>0.45800000000000002</v>
      </c>
      <c r="L52" s="2">
        <f t="shared" si="5"/>
        <v>0.54200000000000004</v>
      </c>
    </row>
    <row r="53" spans="1:12" x14ac:dyDescent="0.3">
      <c r="A53" t="s">
        <v>121</v>
      </c>
      <c r="B53" t="s">
        <v>16</v>
      </c>
      <c r="C53" t="s">
        <v>23</v>
      </c>
      <c r="D53">
        <v>22</v>
      </c>
      <c r="E53">
        <v>94</v>
      </c>
      <c r="F53">
        <v>65</v>
      </c>
      <c r="G53">
        <v>55</v>
      </c>
      <c r="H53">
        <v>64</v>
      </c>
      <c r="I53">
        <f t="shared" si="3"/>
        <v>300</v>
      </c>
      <c r="J53">
        <v>500</v>
      </c>
      <c r="K53" s="2">
        <f t="shared" si="4"/>
        <v>0.6</v>
      </c>
      <c r="L53" s="2">
        <f t="shared" si="5"/>
        <v>0.4</v>
      </c>
    </row>
    <row r="54" spans="1:12" x14ac:dyDescent="0.3">
      <c r="A54" t="s">
        <v>122</v>
      </c>
      <c r="B54" t="s">
        <v>19</v>
      </c>
      <c r="C54" t="s">
        <v>26</v>
      </c>
      <c r="D54">
        <v>62</v>
      </c>
      <c r="E54">
        <v>69</v>
      </c>
      <c r="F54">
        <v>16</v>
      </c>
      <c r="G54">
        <v>96</v>
      </c>
      <c r="H54">
        <v>93</v>
      </c>
      <c r="I54">
        <f t="shared" si="3"/>
        <v>336</v>
      </c>
      <c r="J54">
        <v>500</v>
      </c>
      <c r="K54" s="2">
        <f t="shared" si="4"/>
        <v>0.67200000000000004</v>
      </c>
      <c r="L54" s="2">
        <f t="shared" si="5"/>
        <v>0.32799999999999996</v>
      </c>
    </row>
    <row r="55" spans="1:12" x14ac:dyDescent="0.3">
      <c r="A55" t="s">
        <v>123</v>
      </c>
      <c r="B55" t="s">
        <v>22</v>
      </c>
      <c r="C55" t="s">
        <v>29</v>
      </c>
      <c r="D55">
        <v>92</v>
      </c>
      <c r="E55">
        <v>22</v>
      </c>
      <c r="F55">
        <v>17</v>
      </c>
      <c r="G55">
        <v>61</v>
      </c>
      <c r="H55">
        <v>53</v>
      </c>
      <c r="I55">
        <f t="shared" si="3"/>
        <v>245</v>
      </c>
      <c r="J55">
        <v>500</v>
      </c>
      <c r="K55" s="2">
        <f t="shared" si="4"/>
        <v>0.49</v>
      </c>
      <c r="L55" s="2">
        <f t="shared" si="5"/>
        <v>0.51</v>
      </c>
    </row>
    <row r="56" spans="1:12" x14ac:dyDescent="0.3">
      <c r="A56" t="s">
        <v>124</v>
      </c>
      <c r="B56" t="s">
        <v>25</v>
      </c>
      <c r="C56" t="s">
        <v>32</v>
      </c>
      <c r="D56">
        <v>23</v>
      </c>
      <c r="E56">
        <v>41</v>
      </c>
      <c r="F56">
        <v>34</v>
      </c>
      <c r="G56">
        <v>34</v>
      </c>
      <c r="H56">
        <v>78</v>
      </c>
      <c r="I56">
        <f t="shared" si="3"/>
        <v>210</v>
      </c>
      <c r="J56">
        <v>500</v>
      </c>
      <c r="K56" s="2">
        <f t="shared" si="4"/>
        <v>0.42</v>
      </c>
      <c r="L56" s="2">
        <f t="shared" si="5"/>
        <v>0.58000000000000007</v>
      </c>
    </row>
    <row r="57" spans="1:12" x14ac:dyDescent="0.3">
      <c r="A57" t="s">
        <v>125</v>
      </c>
      <c r="B57" t="s">
        <v>28</v>
      </c>
      <c r="C57" t="s">
        <v>35</v>
      </c>
      <c r="D57">
        <v>67</v>
      </c>
      <c r="E57">
        <v>27</v>
      </c>
      <c r="F57">
        <v>64</v>
      </c>
      <c r="G57">
        <v>33</v>
      </c>
      <c r="H57">
        <v>45</v>
      </c>
      <c r="I57">
        <f t="shared" si="3"/>
        <v>236</v>
      </c>
      <c r="J57">
        <v>500</v>
      </c>
      <c r="K57" s="2">
        <f t="shared" si="4"/>
        <v>0.47199999999999998</v>
      </c>
      <c r="L57" s="2">
        <f t="shared" si="5"/>
        <v>0.52800000000000002</v>
      </c>
    </row>
    <row r="58" spans="1:12" x14ac:dyDescent="0.3">
      <c r="A58" t="s">
        <v>126</v>
      </c>
      <c r="B58" t="s">
        <v>31</v>
      </c>
      <c r="C58" t="s">
        <v>14</v>
      </c>
      <c r="D58">
        <v>69</v>
      </c>
      <c r="E58">
        <v>41</v>
      </c>
      <c r="F58">
        <v>19</v>
      </c>
      <c r="G58">
        <v>66</v>
      </c>
      <c r="H58">
        <v>80</v>
      </c>
      <c r="I58">
        <f t="shared" si="3"/>
        <v>275</v>
      </c>
      <c r="J58">
        <v>500</v>
      </c>
      <c r="K58" s="2">
        <f t="shared" si="4"/>
        <v>0.55000000000000004</v>
      </c>
      <c r="L58" s="2">
        <f t="shared" si="5"/>
        <v>0.44999999999999996</v>
      </c>
    </row>
    <row r="59" spans="1:12" x14ac:dyDescent="0.3">
      <c r="A59" t="s">
        <v>127</v>
      </c>
      <c r="B59" t="s">
        <v>34</v>
      </c>
      <c r="C59" t="s">
        <v>17</v>
      </c>
      <c r="D59">
        <v>22</v>
      </c>
      <c r="E59">
        <v>16</v>
      </c>
      <c r="F59">
        <v>93</v>
      </c>
      <c r="G59">
        <v>79</v>
      </c>
      <c r="H59">
        <v>11</v>
      </c>
      <c r="I59">
        <f t="shared" si="3"/>
        <v>221</v>
      </c>
      <c r="J59">
        <v>500</v>
      </c>
      <c r="K59" s="2">
        <f t="shared" si="4"/>
        <v>0.442</v>
      </c>
      <c r="L59" s="2">
        <f t="shared" si="5"/>
        <v>0.55800000000000005</v>
      </c>
    </row>
    <row r="60" spans="1:12" x14ac:dyDescent="0.3">
      <c r="A60" t="s">
        <v>128</v>
      </c>
      <c r="B60" t="s">
        <v>37</v>
      </c>
      <c r="C60" t="s">
        <v>20</v>
      </c>
      <c r="D60">
        <v>21</v>
      </c>
      <c r="E60">
        <v>40</v>
      </c>
      <c r="F60">
        <v>31</v>
      </c>
      <c r="G60">
        <v>62</v>
      </c>
      <c r="H60">
        <v>72</v>
      </c>
      <c r="I60">
        <f t="shared" si="3"/>
        <v>226</v>
      </c>
      <c r="J60">
        <v>500</v>
      </c>
      <c r="K60" s="2">
        <f t="shared" si="4"/>
        <v>0.45200000000000001</v>
      </c>
      <c r="L60" s="2">
        <f t="shared" si="5"/>
        <v>0.54800000000000004</v>
      </c>
    </row>
    <row r="61" spans="1:12" x14ac:dyDescent="0.3">
      <c r="A61" t="s">
        <v>129</v>
      </c>
      <c r="B61" t="s">
        <v>39</v>
      </c>
      <c r="C61" t="s">
        <v>23</v>
      </c>
      <c r="D61">
        <v>71</v>
      </c>
      <c r="E61">
        <v>37</v>
      </c>
      <c r="F61">
        <v>61</v>
      </c>
      <c r="G61">
        <v>17</v>
      </c>
      <c r="H61">
        <v>31</v>
      </c>
      <c r="I61">
        <f t="shared" si="3"/>
        <v>217</v>
      </c>
      <c r="J61">
        <v>500</v>
      </c>
      <c r="K61" s="2">
        <f t="shared" si="4"/>
        <v>0.434</v>
      </c>
      <c r="L61" s="2">
        <f t="shared" si="5"/>
        <v>0.56600000000000006</v>
      </c>
    </row>
    <row r="62" spans="1:12" x14ac:dyDescent="0.3">
      <c r="A62" t="s">
        <v>130</v>
      </c>
      <c r="B62" t="s">
        <v>41</v>
      </c>
      <c r="C62" t="s">
        <v>26</v>
      </c>
      <c r="D62">
        <v>58</v>
      </c>
      <c r="E62">
        <v>10</v>
      </c>
      <c r="F62">
        <v>59</v>
      </c>
      <c r="G62">
        <v>43</v>
      </c>
      <c r="H62">
        <v>68</v>
      </c>
      <c r="I62">
        <f t="shared" si="3"/>
        <v>238</v>
      </c>
      <c r="J62">
        <v>500</v>
      </c>
      <c r="K62" s="2">
        <f t="shared" si="4"/>
        <v>0.47599999999999998</v>
      </c>
      <c r="L62" s="2">
        <f t="shared" si="5"/>
        <v>0.52400000000000002</v>
      </c>
    </row>
    <row r="63" spans="1:12" x14ac:dyDescent="0.3">
      <c r="A63" t="s">
        <v>131</v>
      </c>
      <c r="B63" t="s">
        <v>43</v>
      </c>
      <c r="C63" t="s">
        <v>29</v>
      </c>
      <c r="D63">
        <v>46</v>
      </c>
      <c r="E63">
        <v>64</v>
      </c>
      <c r="F63">
        <v>99</v>
      </c>
      <c r="G63">
        <v>81</v>
      </c>
      <c r="H63">
        <v>94</v>
      </c>
      <c r="I63">
        <f t="shared" si="3"/>
        <v>384</v>
      </c>
      <c r="J63">
        <v>500</v>
      </c>
      <c r="K63" s="2">
        <f t="shared" si="4"/>
        <v>0.76800000000000002</v>
      </c>
      <c r="L63" s="2">
        <f t="shared" si="5"/>
        <v>0.23199999999999998</v>
      </c>
    </row>
    <row r="64" spans="1:12" x14ac:dyDescent="0.3">
      <c r="A64" t="s">
        <v>132</v>
      </c>
      <c r="B64" t="s">
        <v>45</v>
      </c>
      <c r="C64" t="s">
        <v>32</v>
      </c>
      <c r="D64">
        <v>72</v>
      </c>
      <c r="E64">
        <v>29</v>
      </c>
      <c r="F64">
        <v>34</v>
      </c>
      <c r="G64">
        <v>47</v>
      </c>
      <c r="H64">
        <v>37</v>
      </c>
      <c r="I64">
        <f t="shared" si="3"/>
        <v>219</v>
      </c>
      <c r="J64">
        <v>500</v>
      </c>
      <c r="K64" s="2">
        <f t="shared" si="4"/>
        <v>0.438</v>
      </c>
      <c r="L64" s="2">
        <f t="shared" si="5"/>
        <v>0.56200000000000006</v>
      </c>
    </row>
    <row r="65" spans="1:12" x14ac:dyDescent="0.3">
      <c r="A65" t="s">
        <v>133</v>
      </c>
      <c r="B65" t="s">
        <v>47</v>
      </c>
      <c r="C65" t="s">
        <v>35</v>
      </c>
      <c r="D65">
        <v>17</v>
      </c>
      <c r="E65">
        <v>84</v>
      </c>
      <c r="F65">
        <v>79</v>
      </c>
      <c r="G65">
        <v>17</v>
      </c>
      <c r="H65">
        <v>50</v>
      </c>
      <c r="I65">
        <f t="shared" si="3"/>
        <v>247</v>
      </c>
      <c r="J65">
        <v>500</v>
      </c>
      <c r="K65" s="2">
        <f t="shared" si="4"/>
        <v>0.49399999999999999</v>
      </c>
      <c r="L65" s="2">
        <f t="shared" si="5"/>
        <v>0.50600000000000001</v>
      </c>
    </row>
    <row r="66" spans="1:12" x14ac:dyDescent="0.3">
      <c r="A66" t="s">
        <v>134</v>
      </c>
      <c r="B66" t="s">
        <v>49</v>
      </c>
      <c r="C66" t="s">
        <v>14</v>
      </c>
      <c r="D66">
        <v>17</v>
      </c>
      <c r="E66">
        <v>16</v>
      </c>
      <c r="F66">
        <v>84</v>
      </c>
      <c r="G66">
        <v>71</v>
      </c>
      <c r="H66">
        <v>74</v>
      </c>
      <c r="I66">
        <f t="shared" ref="I66:I97" si="6">SUM(D66:H66)</f>
        <v>262</v>
      </c>
      <c r="J66">
        <v>500</v>
      </c>
      <c r="K66" s="2">
        <f t="shared" ref="K66:K97" si="7">I66/J66</f>
        <v>0.52400000000000002</v>
      </c>
      <c r="L66" s="2">
        <f t="shared" ref="L66:L97" si="8">1-K66</f>
        <v>0.47599999999999998</v>
      </c>
    </row>
    <row r="67" spans="1:12" x14ac:dyDescent="0.3">
      <c r="A67" t="s">
        <v>135</v>
      </c>
      <c r="B67" t="s">
        <v>51</v>
      </c>
      <c r="C67" t="s">
        <v>17</v>
      </c>
      <c r="D67">
        <v>77</v>
      </c>
      <c r="E67">
        <v>30</v>
      </c>
      <c r="F67">
        <v>17</v>
      </c>
      <c r="G67">
        <v>75</v>
      </c>
      <c r="H67">
        <v>20</v>
      </c>
      <c r="I67">
        <f t="shared" si="6"/>
        <v>219</v>
      </c>
      <c r="J67">
        <v>500</v>
      </c>
      <c r="K67" s="2">
        <f t="shared" si="7"/>
        <v>0.438</v>
      </c>
      <c r="L67" s="2">
        <f t="shared" si="8"/>
        <v>0.56200000000000006</v>
      </c>
    </row>
    <row r="68" spans="1:12" x14ac:dyDescent="0.3">
      <c r="A68" t="s">
        <v>136</v>
      </c>
      <c r="B68" t="s">
        <v>53</v>
      </c>
      <c r="C68" t="s">
        <v>20</v>
      </c>
      <c r="D68">
        <v>33</v>
      </c>
      <c r="E68">
        <v>18</v>
      </c>
      <c r="F68">
        <v>86</v>
      </c>
      <c r="G68">
        <v>18</v>
      </c>
      <c r="H68">
        <v>96</v>
      </c>
      <c r="I68">
        <f t="shared" si="6"/>
        <v>251</v>
      </c>
      <c r="J68">
        <v>500</v>
      </c>
      <c r="K68" s="2">
        <f t="shared" si="7"/>
        <v>0.502</v>
      </c>
      <c r="L68" s="2">
        <f t="shared" si="8"/>
        <v>0.498</v>
      </c>
    </row>
    <row r="69" spans="1:12" x14ac:dyDescent="0.3">
      <c r="A69" t="s">
        <v>137</v>
      </c>
      <c r="B69" t="s">
        <v>55</v>
      </c>
      <c r="C69" t="s">
        <v>23</v>
      </c>
      <c r="D69">
        <v>40</v>
      </c>
      <c r="E69">
        <v>61</v>
      </c>
      <c r="F69">
        <v>25</v>
      </c>
      <c r="G69">
        <v>82</v>
      </c>
      <c r="H69">
        <v>41</v>
      </c>
      <c r="I69">
        <f t="shared" si="6"/>
        <v>249</v>
      </c>
      <c r="J69">
        <v>500</v>
      </c>
      <c r="K69" s="2">
        <f t="shared" si="7"/>
        <v>0.498</v>
      </c>
      <c r="L69" s="2">
        <f t="shared" si="8"/>
        <v>0.502</v>
      </c>
    </row>
    <row r="70" spans="1:12" x14ac:dyDescent="0.3">
      <c r="A70" t="s">
        <v>138</v>
      </c>
      <c r="B70" t="s">
        <v>57</v>
      </c>
      <c r="C70" t="s">
        <v>26</v>
      </c>
      <c r="D70">
        <v>84</v>
      </c>
      <c r="E70">
        <v>86</v>
      </c>
      <c r="F70">
        <v>15</v>
      </c>
      <c r="G70">
        <v>89</v>
      </c>
      <c r="H70">
        <v>20</v>
      </c>
      <c r="I70">
        <f t="shared" si="6"/>
        <v>294</v>
      </c>
      <c r="J70">
        <v>500</v>
      </c>
      <c r="K70" s="2">
        <f t="shared" si="7"/>
        <v>0.58799999999999997</v>
      </c>
      <c r="L70" s="2">
        <f t="shared" si="8"/>
        <v>0.41200000000000003</v>
      </c>
    </row>
    <row r="71" spans="1:12" x14ac:dyDescent="0.3">
      <c r="A71" t="s">
        <v>139</v>
      </c>
      <c r="B71" t="s">
        <v>59</v>
      </c>
      <c r="C71" t="s">
        <v>29</v>
      </c>
      <c r="D71">
        <v>63</v>
      </c>
      <c r="E71">
        <v>94</v>
      </c>
      <c r="F71">
        <v>84</v>
      </c>
      <c r="G71">
        <v>82</v>
      </c>
      <c r="H71">
        <v>76</v>
      </c>
      <c r="I71">
        <f t="shared" si="6"/>
        <v>399</v>
      </c>
      <c r="J71">
        <v>500</v>
      </c>
      <c r="K71" s="2">
        <f t="shared" si="7"/>
        <v>0.79800000000000004</v>
      </c>
      <c r="L71" s="2">
        <f t="shared" si="8"/>
        <v>0.20199999999999996</v>
      </c>
    </row>
    <row r="72" spans="1:12" x14ac:dyDescent="0.3">
      <c r="A72" t="s">
        <v>140</v>
      </c>
      <c r="B72" t="s">
        <v>61</v>
      </c>
      <c r="C72" t="s">
        <v>32</v>
      </c>
      <c r="D72">
        <v>50</v>
      </c>
      <c r="E72">
        <v>43</v>
      </c>
      <c r="F72">
        <v>36</v>
      </c>
      <c r="G72">
        <v>95</v>
      </c>
      <c r="H72">
        <v>50</v>
      </c>
      <c r="I72">
        <f t="shared" si="6"/>
        <v>274</v>
      </c>
      <c r="J72">
        <v>500</v>
      </c>
      <c r="K72" s="2">
        <f t="shared" si="7"/>
        <v>0.54800000000000004</v>
      </c>
      <c r="L72" s="2">
        <f t="shared" si="8"/>
        <v>0.45199999999999996</v>
      </c>
    </row>
    <row r="73" spans="1:12" x14ac:dyDescent="0.3">
      <c r="A73" t="s">
        <v>141</v>
      </c>
      <c r="B73" t="s">
        <v>63</v>
      </c>
      <c r="C73" t="s">
        <v>35</v>
      </c>
      <c r="D73">
        <v>40</v>
      </c>
      <c r="E73">
        <v>43</v>
      </c>
      <c r="F73">
        <v>60</v>
      </c>
      <c r="G73">
        <v>26</v>
      </c>
      <c r="H73">
        <v>95</v>
      </c>
      <c r="I73">
        <f t="shared" si="6"/>
        <v>264</v>
      </c>
      <c r="J73">
        <v>500</v>
      </c>
      <c r="K73" s="2">
        <f t="shared" si="7"/>
        <v>0.52800000000000002</v>
      </c>
      <c r="L73" s="2">
        <f t="shared" si="8"/>
        <v>0.47199999999999998</v>
      </c>
    </row>
    <row r="74" spans="1:12" x14ac:dyDescent="0.3">
      <c r="A74" t="s">
        <v>142</v>
      </c>
      <c r="B74" t="s">
        <v>65</v>
      </c>
      <c r="C74" t="s">
        <v>14</v>
      </c>
      <c r="D74">
        <v>92</v>
      </c>
      <c r="E74">
        <v>48</v>
      </c>
      <c r="F74">
        <v>68</v>
      </c>
      <c r="G74">
        <v>50</v>
      </c>
      <c r="H74">
        <v>19</v>
      </c>
      <c r="I74">
        <f t="shared" si="6"/>
        <v>277</v>
      </c>
      <c r="J74">
        <v>500</v>
      </c>
      <c r="K74" s="2">
        <f t="shared" si="7"/>
        <v>0.55400000000000005</v>
      </c>
      <c r="L74" s="2">
        <f t="shared" si="8"/>
        <v>0.44599999999999995</v>
      </c>
    </row>
    <row r="75" spans="1:12" x14ac:dyDescent="0.3">
      <c r="A75" t="s">
        <v>143</v>
      </c>
      <c r="B75" t="s">
        <v>67</v>
      </c>
      <c r="C75" t="s">
        <v>17</v>
      </c>
      <c r="D75">
        <v>11</v>
      </c>
      <c r="E75">
        <v>68</v>
      </c>
      <c r="F75">
        <v>89</v>
      </c>
      <c r="G75">
        <v>82</v>
      </c>
      <c r="H75">
        <v>22</v>
      </c>
      <c r="I75">
        <f t="shared" si="6"/>
        <v>272</v>
      </c>
      <c r="J75">
        <v>500</v>
      </c>
      <c r="K75" s="2">
        <f t="shared" si="7"/>
        <v>0.54400000000000004</v>
      </c>
      <c r="L75" s="2">
        <f t="shared" si="8"/>
        <v>0.45599999999999996</v>
      </c>
    </row>
    <row r="76" spans="1:12" x14ac:dyDescent="0.3">
      <c r="A76" t="s">
        <v>144</v>
      </c>
      <c r="B76" t="s">
        <v>69</v>
      </c>
      <c r="C76" t="s">
        <v>20</v>
      </c>
      <c r="D76">
        <v>19</v>
      </c>
      <c r="E76">
        <v>78</v>
      </c>
      <c r="F76">
        <v>37</v>
      </c>
      <c r="G76">
        <v>74</v>
      </c>
      <c r="H76">
        <v>43</v>
      </c>
      <c r="I76">
        <f t="shared" si="6"/>
        <v>251</v>
      </c>
      <c r="J76">
        <v>500</v>
      </c>
      <c r="K76" s="2">
        <f t="shared" si="7"/>
        <v>0.502</v>
      </c>
      <c r="L76" s="2">
        <f t="shared" si="8"/>
        <v>0.498</v>
      </c>
    </row>
    <row r="77" spans="1:12" x14ac:dyDescent="0.3">
      <c r="A77" t="s">
        <v>145</v>
      </c>
      <c r="B77" t="s">
        <v>71</v>
      </c>
      <c r="C77" t="s">
        <v>23</v>
      </c>
      <c r="D77">
        <v>26</v>
      </c>
      <c r="E77">
        <v>54</v>
      </c>
      <c r="F77">
        <v>18</v>
      </c>
      <c r="G77">
        <v>41</v>
      </c>
      <c r="H77">
        <v>57</v>
      </c>
      <c r="I77">
        <f t="shared" si="6"/>
        <v>196</v>
      </c>
      <c r="J77">
        <v>500</v>
      </c>
      <c r="K77" s="2">
        <f t="shared" si="7"/>
        <v>0.39200000000000002</v>
      </c>
      <c r="L77" s="2">
        <f t="shared" si="8"/>
        <v>0.60799999999999998</v>
      </c>
    </row>
    <row r="78" spans="1:12" x14ac:dyDescent="0.3">
      <c r="A78" t="s">
        <v>146</v>
      </c>
      <c r="B78" t="s">
        <v>73</v>
      </c>
      <c r="C78" t="s">
        <v>26</v>
      </c>
      <c r="D78">
        <v>46</v>
      </c>
      <c r="E78">
        <v>30</v>
      </c>
      <c r="F78">
        <v>66</v>
      </c>
      <c r="G78">
        <v>79</v>
      </c>
      <c r="H78">
        <v>100</v>
      </c>
      <c r="I78">
        <f t="shared" si="6"/>
        <v>321</v>
      </c>
      <c r="J78">
        <v>500</v>
      </c>
      <c r="K78" s="2">
        <f t="shared" si="7"/>
        <v>0.64200000000000002</v>
      </c>
      <c r="L78" s="2">
        <f t="shared" si="8"/>
        <v>0.35799999999999998</v>
      </c>
    </row>
    <row r="79" spans="1:12" x14ac:dyDescent="0.3">
      <c r="A79" t="s">
        <v>147</v>
      </c>
      <c r="B79" t="s">
        <v>75</v>
      </c>
      <c r="C79" t="s">
        <v>29</v>
      </c>
      <c r="D79">
        <v>48</v>
      </c>
      <c r="E79">
        <v>88</v>
      </c>
      <c r="F79">
        <v>93</v>
      </c>
      <c r="G79">
        <v>77</v>
      </c>
      <c r="H79">
        <v>11</v>
      </c>
      <c r="I79">
        <f t="shared" si="6"/>
        <v>317</v>
      </c>
      <c r="J79">
        <v>500</v>
      </c>
      <c r="K79" s="2">
        <f t="shared" si="7"/>
        <v>0.63400000000000001</v>
      </c>
      <c r="L79" s="2">
        <f t="shared" si="8"/>
        <v>0.36599999999999999</v>
      </c>
    </row>
    <row r="80" spans="1:12" x14ac:dyDescent="0.3">
      <c r="A80" t="s">
        <v>148</v>
      </c>
      <c r="B80" t="s">
        <v>77</v>
      </c>
      <c r="C80" t="s">
        <v>32</v>
      </c>
      <c r="D80">
        <v>95</v>
      </c>
      <c r="E80">
        <v>80</v>
      </c>
      <c r="F80">
        <v>48</v>
      </c>
      <c r="G80">
        <v>94</v>
      </c>
      <c r="H80">
        <v>23</v>
      </c>
      <c r="I80">
        <f t="shared" si="6"/>
        <v>340</v>
      </c>
      <c r="J80">
        <v>500</v>
      </c>
      <c r="K80" s="2">
        <f t="shared" si="7"/>
        <v>0.68</v>
      </c>
      <c r="L80" s="2">
        <f t="shared" si="8"/>
        <v>0.31999999999999995</v>
      </c>
    </row>
    <row r="81" spans="1:12" x14ac:dyDescent="0.3">
      <c r="A81" t="s">
        <v>149</v>
      </c>
      <c r="B81" t="s">
        <v>79</v>
      </c>
      <c r="C81" t="s">
        <v>35</v>
      </c>
      <c r="D81">
        <v>27</v>
      </c>
      <c r="E81">
        <v>43</v>
      </c>
      <c r="F81">
        <v>24</v>
      </c>
      <c r="G81">
        <v>23</v>
      </c>
      <c r="H81">
        <v>80</v>
      </c>
      <c r="I81">
        <f t="shared" si="6"/>
        <v>197</v>
      </c>
      <c r="J81">
        <v>500</v>
      </c>
      <c r="K81" s="2">
        <f t="shared" si="7"/>
        <v>0.39400000000000002</v>
      </c>
      <c r="L81" s="2">
        <f t="shared" si="8"/>
        <v>0.60599999999999998</v>
      </c>
    </row>
    <row r="82" spans="1:12" x14ac:dyDescent="0.3">
      <c r="A82" t="s">
        <v>150</v>
      </c>
      <c r="B82" t="s">
        <v>81</v>
      </c>
      <c r="C82" t="s">
        <v>14</v>
      </c>
      <c r="D82">
        <v>29</v>
      </c>
      <c r="E82">
        <v>44</v>
      </c>
      <c r="F82">
        <v>46</v>
      </c>
      <c r="G82">
        <v>87</v>
      </c>
      <c r="H82">
        <v>36</v>
      </c>
      <c r="I82">
        <f t="shared" si="6"/>
        <v>242</v>
      </c>
      <c r="J82">
        <v>500</v>
      </c>
      <c r="K82" s="2">
        <f t="shared" si="7"/>
        <v>0.48399999999999999</v>
      </c>
      <c r="L82" s="2">
        <f t="shared" si="8"/>
        <v>0.51600000000000001</v>
      </c>
    </row>
    <row r="83" spans="1:12" x14ac:dyDescent="0.3">
      <c r="A83" t="s">
        <v>151</v>
      </c>
      <c r="B83" t="s">
        <v>83</v>
      </c>
      <c r="C83" t="s">
        <v>17</v>
      </c>
      <c r="D83">
        <v>53</v>
      </c>
      <c r="E83">
        <v>36</v>
      </c>
      <c r="F83">
        <v>97</v>
      </c>
      <c r="G83">
        <v>91</v>
      </c>
      <c r="H83">
        <v>43</v>
      </c>
      <c r="I83">
        <f t="shared" si="6"/>
        <v>320</v>
      </c>
      <c r="J83">
        <v>500</v>
      </c>
      <c r="K83" s="2">
        <f t="shared" si="7"/>
        <v>0.64</v>
      </c>
      <c r="L83" s="2">
        <f t="shared" si="8"/>
        <v>0.36</v>
      </c>
    </row>
    <row r="84" spans="1:12" x14ac:dyDescent="0.3">
      <c r="A84" t="s">
        <v>152</v>
      </c>
      <c r="B84" t="s">
        <v>85</v>
      </c>
      <c r="C84" t="s">
        <v>20</v>
      </c>
      <c r="D84">
        <v>74</v>
      </c>
      <c r="E84">
        <v>72</v>
      </c>
      <c r="F84">
        <v>42</v>
      </c>
      <c r="G84">
        <v>16</v>
      </c>
      <c r="H84">
        <v>21</v>
      </c>
      <c r="I84">
        <f t="shared" si="6"/>
        <v>225</v>
      </c>
      <c r="J84">
        <v>500</v>
      </c>
      <c r="K84" s="2">
        <f t="shared" si="7"/>
        <v>0.45</v>
      </c>
      <c r="L84" s="2">
        <f t="shared" si="8"/>
        <v>0.55000000000000004</v>
      </c>
    </row>
    <row r="85" spans="1:12" x14ac:dyDescent="0.3">
      <c r="A85" t="s">
        <v>153</v>
      </c>
      <c r="B85" t="s">
        <v>87</v>
      </c>
      <c r="C85" t="s">
        <v>23</v>
      </c>
      <c r="D85">
        <v>91</v>
      </c>
      <c r="E85">
        <v>64</v>
      </c>
      <c r="F85">
        <v>45</v>
      </c>
      <c r="G85">
        <v>15</v>
      </c>
      <c r="H85">
        <v>10</v>
      </c>
      <c r="I85">
        <f t="shared" si="6"/>
        <v>225</v>
      </c>
      <c r="J85">
        <v>500</v>
      </c>
      <c r="K85" s="2">
        <f t="shared" si="7"/>
        <v>0.45</v>
      </c>
      <c r="L85" s="2">
        <f t="shared" si="8"/>
        <v>0.55000000000000004</v>
      </c>
    </row>
    <row r="86" spans="1:12" x14ac:dyDescent="0.3">
      <c r="A86" t="s">
        <v>154</v>
      </c>
      <c r="B86" t="s">
        <v>89</v>
      </c>
      <c r="C86" t="s">
        <v>26</v>
      </c>
      <c r="D86">
        <v>52</v>
      </c>
      <c r="E86">
        <v>26</v>
      </c>
      <c r="F86">
        <v>91</v>
      </c>
      <c r="G86">
        <v>43</v>
      </c>
      <c r="H86">
        <v>30</v>
      </c>
      <c r="I86">
        <f t="shared" si="6"/>
        <v>242</v>
      </c>
      <c r="J86">
        <v>500</v>
      </c>
      <c r="K86" s="2">
        <f t="shared" si="7"/>
        <v>0.48399999999999999</v>
      </c>
      <c r="L86" s="2">
        <f t="shared" si="8"/>
        <v>0.51600000000000001</v>
      </c>
    </row>
    <row r="87" spans="1:12" x14ac:dyDescent="0.3">
      <c r="A87" t="s">
        <v>155</v>
      </c>
      <c r="B87" t="s">
        <v>91</v>
      </c>
      <c r="C87" t="s">
        <v>29</v>
      </c>
      <c r="D87">
        <v>66</v>
      </c>
      <c r="E87">
        <v>80</v>
      </c>
      <c r="F87">
        <v>100</v>
      </c>
      <c r="G87">
        <v>64</v>
      </c>
      <c r="H87">
        <v>81</v>
      </c>
      <c r="I87">
        <f t="shared" si="6"/>
        <v>391</v>
      </c>
      <c r="J87">
        <v>500</v>
      </c>
      <c r="K87" s="2">
        <f t="shared" si="7"/>
        <v>0.78200000000000003</v>
      </c>
      <c r="L87" s="2">
        <f t="shared" si="8"/>
        <v>0.21799999999999997</v>
      </c>
    </row>
    <row r="88" spans="1:12" x14ac:dyDescent="0.3">
      <c r="A88" t="s">
        <v>156</v>
      </c>
      <c r="B88" t="s">
        <v>93</v>
      </c>
      <c r="C88" t="s">
        <v>32</v>
      </c>
      <c r="D88">
        <v>11</v>
      </c>
      <c r="E88">
        <v>24</v>
      </c>
      <c r="F88">
        <v>19</v>
      </c>
      <c r="G88">
        <v>98</v>
      </c>
      <c r="H88">
        <v>29</v>
      </c>
      <c r="I88">
        <f t="shared" si="6"/>
        <v>181</v>
      </c>
      <c r="J88">
        <v>500</v>
      </c>
      <c r="K88" s="2">
        <f t="shared" si="7"/>
        <v>0.36199999999999999</v>
      </c>
      <c r="L88" s="2">
        <f t="shared" si="8"/>
        <v>0.63800000000000001</v>
      </c>
    </row>
    <row r="89" spans="1:12" x14ac:dyDescent="0.3">
      <c r="A89" t="s">
        <v>157</v>
      </c>
      <c r="B89" t="s">
        <v>95</v>
      </c>
      <c r="C89" t="s">
        <v>35</v>
      </c>
      <c r="D89">
        <v>79</v>
      </c>
      <c r="E89">
        <v>14</v>
      </c>
      <c r="F89">
        <v>57</v>
      </c>
      <c r="G89">
        <v>84</v>
      </c>
      <c r="H89">
        <v>80</v>
      </c>
      <c r="I89">
        <f t="shared" si="6"/>
        <v>314</v>
      </c>
      <c r="J89">
        <v>500</v>
      </c>
      <c r="K89" s="2">
        <f t="shared" si="7"/>
        <v>0.628</v>
      </c>
      <c r="L89" s="2">
        <f t="shared" si="8"/>
        <v>0.372</v>
      </c>
    </row>
    <row r="90" spans="1:12" x14ac:dyDescent="0.3">
      <c r="A90" t="s">
        <v>158</v>
      </c>
      <c r="B90" t="s">
        <v>97</v>
      </c>
      <c r="C90" t="s">
        <v>14</v>
      </c>
      <c r="D90">
        <v>28</v>
      </c>
      <c r="E90">
        <v>65</v>
      </c>
      <c r="F90">
        <v>26</v>
      </c>
      <c r="G90">
        <v>15</v>
      </c>
      <c r="H90">
        <v>49</v>
      </c>
      <c r="I90">
        <f t="shared" si="6"/>
        <v>183</v>
      </c>
      <c r="J90">
        <v>500</v>
      </c>
      <c r="K90" s="2">
        <f t="shared" si="7"/>
        <v>0.36599999999999999</v>
      </c>
      <c r="L90" s="2">
        <f t="shared" si="8"/>
        <v>0.63400000000000001</v>
      </c>
    </row>
    <row r="91" spans="1:12" x14ac:dyDescent="0.3">
      <c r="A91" t="s">
        <v>159</v>
      </c>
      <c r="B91" t="s">
        <v>99</v>
      </c>
      <c r="C91" t="s">
        <v>17</v>
      </c>
      <c r="D91">
        <v>56</v>
      </c>
      <c r="E91">
        <v>15</v>
      </c>
      <c r="F91">
        <v>55</v>
      </c>
      <c r="G91">
        <v>36</v>
      </c>
      <c r="H91">
        <v>97</v>
      </c>
      <c r="I91">
        <f t="shared" si="6"/>
        <v>259</v>
      </c>
      <c r="J91">
        <v>500</v>
      </c>
      <c r="K91" s="2">
        <f t="shared" si="7"/>
        <v>0.51800000000000002</v>
      </c>
      <c r="L91" s="2">
        <f t="shared" si="8"/>
        <v>0.48199999999999998</v>
      </c>
    </row>
    <row r="92" spans="1:12" x14ac:dyDescent="0.3">
      <c r="A92" t="s">
        <v>160</v>
      </c>
      <c r="B92" t="s">
        <v>101</v>
      </c>
      <c r="C92" t="s">
        <v>20</v>
      </c>
      <c r="D92">
        <v>41</v>
      </c>
      <c r="E92">
        <v>95</v>
      </c>
      <c r="F92">
        <v>23</v>
      </c>
      <c r="G92">
        <v>55</v>
      </c>
      <c r="H92">
        <v>81</v>
      </c>
      <c r="I92">
        <f t="shared" si="6"/>
        <v>295</v>
      </c>
      <c r="J92">
        <v>500</v>
      </c>
      <c r="K92" s="2">
        <f t="shared" si="7"/>
        <v>0.59</v>
      </c>
      <c r="L92" s="2">
        <f t="shared" si="8"/>
        <v>0.41000000000000003</v>
      </c>
    </row>
    <row r="93" spans="1:12" x14ac:dyDescent="0.3">
      <c r="A93" t="s">
        <v>161</v>
      </c>
      <c r="B93" t="s">
        <v>103</v>
      </c>
      <c r="C93" t="s">
        <v>23</v>
      </c>
      <c r="D93">
        <v>62</v>
      </c>
      <c r="E93">
        <v>89</v>
      </c>
      <c r="F93">
        <v>29</v>
      </c>
      <c r="G93">
        <v>40</v>
      </c>
      <c r="H93">
        <v>30</v>
      </c>
      <c r="I93">
        <f t="shared" si="6"/>
        <v>250</v>
      </c>
      <c r="J93">
        <v>500</v>
      </c>
      <c r="K93" s="2">
        <f t="shared" si="7"/>
        <v>0.5</v>
      </c>
      <c r="L93" s="2">
        <f t="shared" si="8"/>
        <v>0.5</v>
      </c>
    </row>
    <row r="94" spans="1:12" x14ac:dyDescent="0.3">
      <c r="A94" t="s">
        <v>162</v>
      </c>
      <c r="B94" t="s">
        <v>105</v>
      </c>
      <c r="C94" t="s">
        <v>26</v>
      </c>
      <c r="D94">
        <v>32</v>
      </c>
      <c r="E94">
        <v>62</v>
      </c>
      <c r="F94">
        <v>13</v>
      </c>
      <c r="G94">
        <v>32</v>
      </c>
      <c r="H94">
        <v>52</v>
      </c>
      <c r="I94">
        <f t="shared" si="6"/>
        <v>191</v>
      </c>
      <c r="J94">
        <v>500</v>
      </c>
      <c r="K94" s="2">
        <f t="shared" si="7"/>
        <v>0.38200000000000001</v>
      </c>
      <c r="L94" s="2">
        <f t="shared" si="8"/>
        <v>0.61799999999999999</v>
      </c>
    </row>
    <row r="95" spans="1:12" x14ac:dyDescent="0.3">
      <c r="A95" t="s">
        <v>163</v>
      </c>
      <c r="B95" t="s">
        <v>107</v>
      </c>
      <c r="C95" t="s">
        <v>29</v>
      </c>
      <c r="D95">
        <v>62</v>
      </c>
      <c r="E95">
        <v>95</v>
      </c>
      <c r="F95">
        <v>41</v>
      </c>
      <c r="G95">
        <v>44</v>
      </c>
      <c r="H95">
        <v>30</v>
      </c>
      <c r="I95">
        <f t="shared" si="6"/>
        <v>272</v>
      </c>
      <c r="J95">
        <v>500</v>
      </c>
      <c r="K95" s="2">
        <f t="shared" si="7"/>
        <v>0.54400000000000004</v>
      </c>
      <c r="L95" s="2">
        <f t="shared" si="8"/>
        <v>0.45599999999999996</v>
      </c>
    </row>
    <row r="96" spans="1:12" x14ac:dyDescent="0.3">
      <c r="A96" t="s">
        <v>164</v>
      </c>
      <c r="B96" t="s">
        <v>109</v>
      </c>
      <c r="C96" t="s">
        <v>32</v>
      </c>
      <c r="D96">
        <v>99</v>
      </c>
      <c r="E96">
        <v>23</v>
      </c>
      <c r="F96">
        <v>58</v>
      </c>
      <c r="G96">
        <v>14</v>
      </c>
      <c r="H96">
        <v>70</v>
      </c>
      <c r="I96">
        <f t="shared" si="6"/>
        <v>264</v>
      </c>
      <c r="J96">
        <v>500</v>
      </c>
      <c r="K96" s="2">
        <f t="shared" si="7"/>
        <v>0.52800000000000002</v>
      </c>
      <c r="L96" s="2">
        <f t="shared" si="8"/>
        <v>0.47199999999999998</v>
      </c>
    </row>
    <row r="97" spans="1:12" x14ac:dyDescent="0.3">
      <c r="A97" t="s">
        <v>165</v>
      </c>
      <c r="B97" t="s">
        <v>111</v>
      </c>
      <c r="C97" t="s">
        <v>35</v>
      </c>
      <c r="D97">
        <v>38</v>
      </c>
      <c r="E97">
        <v>35</v>
      </c>
      <c r="F97">
        <v>68</v>
      </c>
      <c r="G97">
        <v>54</v>
      </c>
      <c r="H97">
        <v>49</v>
      </c>
      <c r="I97">
        <f t="shared" si="6"/>
        <v>244</v>
      </c>
      <c r="J97">
        <v>500</v>
      </c>
      <c r="K97" s="2">
        <f t="shared" si="7"/>
        <v>0.48799999999999999</v>
      </c>
      <c r="L97" s="2">
        <f t="shared" si="8"/>
        <v>0.51200000000000001</v>
      </c>
    </row>
    <row r="98" spans="1:12" x14ac:dyDescent="0.3">
      <c r="A98" t="s">
        <v>166</v>
      </c>
      <c r="B98" t="s">
        <v>113</v>
      </c>
      <c r="C98" t="s">
        <v>14</v>
      </c>
      <c r="D98">
        <v>39</v>
      </c>
      <c r="E98">
        <v>38</v>
      </c>
      <c r="F98">
        <v>13</v>
      </c>
      <c r="G98">
        <v>94</v>
      </c>
      <c r="H98">
        <v>34</v>
      </c>
      <c r="I98">
        <f t="shared" ref="I98:I129" si="9">SUM(D98:H98)</f>
        <v>218</v>
      </c>
      <c r="J98">
        <v>500</v>
      </c>
      <c r="K98" s="2">
        <f t="shared" ref="K98:K129" si="10">I98/J98</f>
        <v>0.436</v>
      </c>
      <c r="L98" s="2">
        <f t="shared" ref="L98:L129" si="11">1-K98</f>
        <v>0.56400000000000006</v>
      </c>
    </row>
    <row r="99" spans="1:12" x14ac:dyDescent="0.3">
      <c r="A99" t="s">
        <v>167</v>
      </c>
      <c r="B99" t="s">
        <v>115</v>
      </c>
      <c r="C99" t="s">
        <v>17</v>
      </c>
      <c r="D99">
        <v>61</v>
      </c>
      <c r="E99">
        <v>52</v>
      </c>
      <c r="F99">
        <v>45</v>
      </c>
      <c r="G99">
        <v>18</v>
      </c>
      <c r="H99">
        <v>45</v>
      </c>
      <c r="I99">
        <f t="shared" si="9"/>
        <v>221</v>
      </c>
      <c r="J99">
        <v>500</v>
      </c>
      <c r="K99" s="2">
        <f t="shared" si="10"/>
        <v>0.442</v>
      </c>
      <c r="L99" s="2">
        <f t="shared" si="11"/>
        <v>0.55800000000000005</v>
      </c>
    </row>
    <row r="100" spans="1:12" x14ac:dyDescent="0.3">
      <c r="A100" t="s">
        <v>168</v>
      </c>
      <c r="B100" t="s">
        <v>117</v>
      </c>
      <c r="C100" t="s">
        <v>20</v>
      </c>
      <c r="D100">
        <v>54</v>
      </c>
      <c r="E100">
        <v>92</v>
      </c>
      <c r="F100">
        <v>75</v>
      </c>
      <c r="G100">
        <v>61</v>
      </c>
      <c r="H100">
        <v>96</v>
      </c>
      <c r="I100">
        <f t="shared" si="9"/>
        <v>378</v>
      </c>
      <c r="J100">
        <v>500</v>
      </c>
      <c r="K100" s="2">
        <f t="shared" si="10"/>
        <v>0.75600000000000001</v>
      </c>
      <c r="L100" s="2">
        <f t="shared" si="11"/>
        <v>0.24399999999999999</v>
      </c>
    </row>
    <row r="101" spans="1:12" x14ac:dyDescent="0.3">
      <c r="A101" t="s">
        <v>169</v>
      </c>
      <c r="B101" t="s">
        <v>119</v>
      </c>
      <c r="C101" t="s">
        <v>23</v>
      </c>
      <c r="D101">
        <v>78</v>
      </c>
      <c r="E101">
        <v>52</v>
      </c>
      <c r="F101">
        <v>13</v>
      </c>
      <c r="G101">
        <v>24</v>
      </c>
      <c r="H101">
        <v>43</v>
      </c>
      <c r="I101">
        <f t="shared" si="9"/>
        <v>210</v>
      </c>
      <c r="J101">
        <v>500</v>
      </c>
      <c r="K101" s="2">
        <f t="shared" si="10"/>
        <v>0.42</v>
      </c>
      <c r="L101" s="2">
        <f t="shared" si="11"/>
        <v>0.58000000000000007</v>
      </c>
    </row>
  </sheetData>
  <autoFilter ref="A1:L101" xr:uid="{00000000-0009-0000-0000-000000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DASHBORD</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abhishek mohabe</cp:lastModifiedBy>
  <dcterms:created xsi:type="dcterms:W3CDTF">2026-09-02T04:56:47Z</dcterms:created>
  <dcterms:modified xsi:type="dcterms:W3CDTF">2026-09-02T06:40:21Z</dcterms:modified>
</cp:coreProperties>
</file>